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agus0\Mi unidad\System Rapid\Arcos Dorados - Panama\"/>
    </mc:Choice>
  </mc:AlternateContent>
  <xr:revisionPtr revIDLastSave="0" documentId="8_{D9572743-B096-416F-9B43-C10F93A25AE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4" r:id="rId1"/>
    <sheet name="Control" sheetId="2" r:id="rId2"/>
    <sheet name="Schedule supervision" sheetId="5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L2" i="4"/>
  <c r="L9" i="4" s="1"/>
  <c r="J83" i="2"/>
  <c r="I83" i="2"/>
  <c r="A50" i="5"/>
  <c r="B50" i="5" s="1"/>
  <c r="A51" i="5"/>
  <c r="B51" i="5" s="1"/>
  <c r="A47" i="5"/>
  <c r="B47" i="5" s="1"/>
  <c r="A48" i="5"/>
  <c r="C48" i="5" s="1"/>
  <c r="A49" i="5"/>
  <c r="B49" i="5" s="1"/>
  <c r="J81" i="2"/>
  <c r="I81" i="2"/>
  <c r="J80" i="2"/>
  <c r="I80" i="2"/>
  <c r="J79" i="2"/>
  <c r="I79" i="2"/>
  <c r="J75" i="2"/>
  <c r="I75" i="2"/>
  <c r="A46" i="5"/>
  <c r="B46" i="5" s="1"/>
  <c r="J71" i="2"/>
  <c r="I71" i="2"/>
  <c r="A44" i="5"/>
  <c r="B44" i="5" s="1"/>
  <c r="A45" i="5"/>
  <c r="D45" i="5" s="1"/>
  <c r="J67" i="2"/>
  <c r="I67" i="2"/>
  <c r="J65" i="2"/>
  <c r="I65" i="2"/>
  <c r="J64" i="2"/>
  <c r="I64" i="2"/>
  <c r="A42" i="5"/>
  <c r="B42" i="5" s="1"/>
  <c r="A43" i="5"/>
  <c r="C43" i="5" s="1"/>
  <c r="J62" i="2"/>
  <c r="I62" i="2"/>
  <c r="J61" i="2"/>
  <c r="I61" i="2"/>
  <c r="A38" i="5"/>
  <c r="B38" i="5" s="1"/>
  <c r="A39" i="5"/>
  <c r="D39" i="5" s="1"/>
  <c r="A40" i="5"/>
  <c r="C40" i="5" s="1"/>
  <c r="A41" i="5"/>
  <c r="B41" i="5" s="1"/>
  <c r="I60" i="2"/>
  <c r="J60" i="2"/>
  <c r="I59" i="2"/>
  <c r="J59" i="2"/>
  <c r="I58" i="2"/>
  <c r="J58" i="2"/>
  <c r="J57" i="2"/>
  <c r="I57" i="2"/>
  <c r="A37" i="5"/>
  <c r="B37" i="5" s="1"/>
  <c r="L6" i="4"/>
  <c r="A36" i="5"/>
  <c r="B36" i="5" s="1"/>
  <c r="A34" i="5"/>
  <c r="B34" i="5" s="1"/>
  <c r="A35" i="5"/>
  <c r="C35" i="5" s="1"/>
  <c r="J56" i="2"/>
  <c r="I56" i="2"/>
  <c r="J53" i="2"/>
  <c r="I53" i="2"/>
  <c r="J54" i="2"/>
  <c r="I54" i="2"/>
  <c r="E4" i="2"/>
  <c r="G4" i="2"/>
  <c r="F4" i="2"/>
  <c r="F4" i="4" s="1"/>
  <c r="F6" i="4"/>
  <c r="A2" i="5"/>
  <c r="A3" i="5"/>
  <c r="A4" i="5"/>
  <c r="A14" i="5"/>
  <c r="D14" i="5" s="1"/>
  <c r="A15" i="5"/>
  <c r="C15" i="5" s="1"/>
  <c r="A16" i="5"/>
  <c r="D16" i="5" s="1"/>
  <c r="A17" i="5"/>
  <c r="C17" i="5" s="1"/>
  <c r="A18" i="5"/>
  <c r="C18" i="5" s="1"/>
  <c r="A19" i="5"/>
  <c r="B19" i="5" s="1"/>
  <c r="A20" i="5"/>
  <c r="D20" i="5" s="1"/>
  <c r="A21" i="5"/>
  <c r="C21" i="5" s="1"/>
  <c r="A22" i="5"/>
  <c r="C22" i="5" s="1"/>
  <c r="A23" i="5"/>
  <c r="B23" i="5" s="1"/>
  <c r="A24" i="5"/>
  <c r="B24" i="5" s="1"/>
  <c r="A25" i="5"/>
  <c r="D25" i="5" s="1"/>
  <c r="A26" i="5"/>
  <c r="C26" i="5" s="1"/>
  <c r="A27" i="5"/>
  <c r="C27" i="5" s="1"/>
  <c r="A28" i="5"/>
  <c r="C28" i="5" s="1"/>
  <c r="A29" i="5"/>
  <c r="B29" i="5" s="1"/>
  <c r="A30" i="5"/>
  <c r="D30" i="5" s="1"/>
  <c r="A31" i="5"/>
  <c r="C31" i="5" s="1"/>
  <c r="A32" i="5"/>
  <c r="D32" i="5" s="1"/>
  <c r="A33" i="5"/>
  <c r="C33" i="5" s="1"/>
  <c r="A11" i="5"/>
  <c r="C11" i="5" s="1"/>
  <c r="A12" i="5"/>
  <c r="B12" i="5" s="1"/>
  <c r="A13" i="5"/>
  <c r="B13" i="5" s="1"/>
  <c r="A5" i="5"/>
  <c r="C5" i="5" s="1"/>
  <c r="A6" i="5"/>
  <c r="C6" i="5" s="1"/>
  <c r="A7" i="5"/>
  <c r="C7" i="5" s="1"/>
  <c r="A8" i="5"/>
  <c r="C8" i="5" s="1"/>
  <c r="A9" i="5"/>
  <c r="B9" i="5" s="1"/>
  <c r="A10" i="5"/>
  <c r="C10" i="5" s="1"/>
  <c r="J50" i="2"/>
  <c r="I50" i="2"/>
  <c r="I6" i="4" a="1"/>
  <c r="I6" i="4" s="1"/>
  <c r="J5" i="2"/>
  <c r="J6" i="2"/>
  <c r="J7" i="2"/>
  <c r="J9" i="2"/>
  <c r="J10" i="2"/>
  <c r="J11" i="2"/>
  <c r="J13" i="2"/>
  <c r="J14" i="2"/>
  <c r="J16" i="2"/>
  <c r="J17" i="2"/>
  <c r="J18" i="2"/>
  <c r="J20" i="2"/>
  <c r="J23" i="2"/>
  <c r="J25" i="2"/>
  <c r="J27" i="2"/>
  <c r="J28" i="2"/>
  <c r="J29" i="2"/>
  <c r="J30" i="2"/>
  <c r="J31" i="2"/>
  <c r="J32" i="2"/>
  <c r="J33" i="2"/>
  <c r="J34" i="2"/>
  <c r="J35" i="2"/>
  <c r="J39" i="2"/>
  <c r="J40" i="2"/>
  <c r="J41" i="2"/>
  <c r="J42" i="2"/>
  <c r="J43" i="2"/>
  <c r="J45" i="2"/>
  <c r="J46" i="2"/>
  <c r="J48" i="2"/>
  <c r="I6" i="2"/>
  <c r="I7" i="2"/>
  <c r="I9" i="2"/>
  <c r="I10" i="2"/>
  <c r="I11" i="2"/>
  <c r="I13" i="2"/>
  <c r="I14" i="2"/>
  <c r="I16" i="2"/>
  <c r="I17" i="2"/>
  <c r="I18" i="2"/>
  <c r="I20" i="2"/>
  <c r="L4" i="4"/>
  <c r="I9" i="4"/>
  <c r="I4" i="4"/>
  <c r="C51" i="5" l="1"/>
  <c r="D51" i="5"/>
  <c r="D47" i="5"/>
  <c r="B48" i="5"/>
  <c r="D50" i="5"/>
  <c r="C50" i="5"/>
  <c r="C47" i="5"/>
  <c r="D48" i="5"/>
  <c r="D49" i="5"/>
  <c r="C49" i="5"/>
  <c r="D46" i="5"/>
  <c r="C46" i="5"/>
  <c r="D44" i="5"/>
  <c r="C44" i="5"/>
  <c r="C45" i="5"/>
  <c r="B45" i="5"/>
  <c r="D40" i="5"/>
  <c r="C39" i="5"/>
  <c r="B43" i="5"/>
  <c r="B40" i="5"/>
  <c r="D43" i="5"/>
  <c r="C42" i="5"/>
  <c r="D42" i="5"/>
  <c r="D41" i="5"/>
  <c r="C41" i="5"/>
  <c r="B39" i="5"/>
  <c r="D38" i="5"/>
  <c r="C38" i="5"/>
  <c r="F9" i="4"/>
  <c r="D36" i="5"/>
  <c r="C37" i="5"/>
  <c r="D37" i="5"/>
  <c r="C36" i="5"/>
  <c r="B35" i="5"/>
  <c r="D34" i="5"/>
  <c r="C34" i="5"/>
  <c r="D35" i="5"/>
  <c r="B33" i="5"/>
  <c r="B22" i="5"/>
  <c r="C30" i="5"/>
  <c r="D29" i="5"/>
  <c r="C29" i="5"/>
  <c r="B18" i="5"/>
  <c r="D19" i="5"/>
  <c r="B17" i="5"/>
  <c r="C19" i="5"/>
  <c r="B5" i="5"/>
  <c r="D17" i="5"/>
  <c r="B21" i="5"/>
  <c r="B20" i="5"/>
  <c r="C20" i="5"/>
  <c r="B32" i="5"/>
  <c r="C16" i="5"/>
  <c r="D31" i="5"/>
  <c r="C32" i="5"/>
  <c r="B31" i="5"/>
  <c r="B16" i="5"/>
  <c r="D18" i="5"/>
  <c r="B6" i="5"/>
  <c r="B30" i="5"/>
  <c r="C12" i="5"/>
  <c r="B15" i="5"/>
  <c r="D9" i="5"/>
  <c r="C13" i="5"/>
  <c r="D13" i="5"/>
  <c r="C9" i="5"/>
  <c r="B28" i="5"/>
  <c r="B10" i="5"/>
  <c r="D28" i="5"/>
  <c r="D8" i="5"/>
  <c r="D27" i="5"/>
  <c r="B25" i="5"/>
  <c r="B8" i="5"/>
  <c r="C25" i="5"/>
  <c r="D12" i="5"/>
  <c r="B14" i="5"/>
  <c r="B27" i="5"/>
  <c r="D15" i="5"/>
  <c r="B26" i="5"/>
  <c r="C14" i="5"/>
  <c r="B7" i="5"/>
  <c r="D7" i="5"/>
  <c r="D6" i="5"/>
  <c r="B11" i="5"/>
  <c r="D22" i="5"/>
  <c r="D5" i="5"/>
  <c r="D26" i="5"/>
  <c r="D21" i="5"/>
  <c r="D10" i="5"/>
  <c r="D24" i="5"/>
  <c r="C24" i="5"/>
  <c r="D33" i="5"/>
  <c r="D11" i="5"/>
  <c r="D23" i="5"/>
  <c r="C23" i="5"/>
  <c r="B4" i="5"/>
  <c r="C4" i="5"/>
  <c r="D4" i="5"/>
  <c r="B3" i="5"/>
  <c r="C3" i="5"/>
  <c r="D3" i="5"/>
  <c r="D2" i="5"/>
  <c r="B2" i="5"/>
  <c r="C2" i="5"/>
  <c r="J4" i="2"/>
  <c r="I48" i="2" l="1"/>
  <c r="I46" i="2" l="1"/>
  <c r="I25" i="2"/>
  <c r="I27" i="2"/>
  <c r="I28" i="2"/>
  <c r="I29" i="2"/>
  <c r="I30" i="2"/>
  <c r="I31" i="2"/>
  <c r="I32" i="2"/>
  <c r="I33" i="2"/>
  <c r="I34" i="2"/>
  <c r="I35" i="2"/>
  <c r="I39" i="2"/>
  <c r="I40" i="2"/>
  <c r="I41" i="2"/>
  <c r="I42" i="2"/>
  <c r="I43" i="2"/>
  <c r="I45" i="2"/>
  <c r="I23" i="2"/>
  <c r="I5" i="2"/>
  <c r="I4" i="2" l="1"/>
  <c r="C6" i="4" s="1"/>
  <c r="C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tc={92B62669-2E78-43AA-83AF-C1D4AED4551E}</author>
  </authors>
  <commentList>
    <comment ref="N64" authorId="0" shapeId="0" xr:uid="{92B62669-2E78-43AA-83AF-C1D4AED4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omitted by Claro, and included after the notification.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<sst xmlns="http://schemas.openxmlformats.org/spreadsheetml/2006/main" count="696" uniqueCount="336">
  <si>
    <t>Villa Lucre</t>
  </si>
  <si>
    <t>San Vicente, chilibre</t>
  </si>
  <si>
    <t>P25</t>
  </si>
  <si>
    <t>Financial Park, piso 41</t>
  </si>
  <si>
    <t>Address</t>
  </si>
  <si>
    <t>Devices</t>
  </si>
  <si>
    <t>MX250-HW</t>
  </si>
  <si>
    <t>Q3LC-527T-VHDP</t>
  </si>
  <si>
    <t>Q3AL-EBTB-ANH4</t>
  </si>
  <si>
    <t>MR44-HW</t>
  </si>
  <si>
    <t>Q3AL-XD7N-RXMU</t>
  </si>
  <si>
    <t>Serial</t>
  </si>
  <si>
    <t>Duration</t>
  </si>
  <si>
    <t>Start time</t>
  </si>
  <si>
    <t>End time</t>
  </si>
  <si>
    <t>Status</t>
  </si>
  <si>
    <t>Completed</t>
  </si>
  <si>
    <t>Firewall</t>
  </si>
  <si>
    <t>AP</t>
  </si>
  <si>
    <t>Q3AL-QFHA-F7MB</t>
  </si>
  <si>
    <t>NA</t>
  </si>
  <si>
    <t>Royal Blue Plaza</t>
  </si>
  <si>
    <t>Status of installations completed and scheduled</t>
  </si>
  <si>
    <t>Initial Date</t>
  </si>
  <si>
    <t>Initial Time</t>
  </si>
  <si>
    <t>Loc. Code</t>
  </si>
  <si>
    <t>Initial Schedule</t>
  </si>
  <si>
    <t>Execution</t>
  </si>
  <si>
    <t>Site</t>
  </si>
  <si>
    <t>Comments</t>
  </si>
  <si>
    <t>No comments</t>
  </si>
  <si>
    <t>Cancelled</t>
  </si>
  <si>
    <t>Was cancelled twice, now we are watting a new date</t>
  </si>
  <si>
    <t>P51</t>
  </si>
  <si>
    <t>P90</t>
  </si>
  <si>
    <t>P02</t>
  </si>
  <si>
    <t>La Siesta</t>
  </si>
  <si>
    <t>P24</t>
  </si>
  <si>
    <t>Agora Chanis</t>
  </si>
  <si>
    <t>P27</t>
  </si>
  <si>
    <t>Metromall</t>
  </si>
  <si>
    <t>Q2FY-8J33-QYL9</t>
  </si>
  <si>
    <t>Los Pueblos</t>
  </si>
  <si>
    <t>Q3AL-VFSD-6SPG</t>
  </si>
  <si>
    <t>MX68-HW</t>
  </si>
  <si>
    <t>Q2KY-S5FG-GAZ2</t>
  </si>
  <si>
    <t>MX67-HW</t>
  </si>
  <si>
    <t>Q2FY-8JQA-G6KE</t>
  </si>
  <si>
    <t>Villa Catalina Airport Plaza</t>
  </si>
  <si>
    <t>C.C. Plaza Las Americas/Ofibodegas Tocumen</t>
  </si>
  <si>
    <t>Q2FY-8HA6-3Z8N</t>
  </si>
  <si>
    <t>Q3AL-6U99-GPCZ</t>
  </si>
  <si>
    <t>Via España</t>
  </si>
  <si>
    <t>Q3AL-S54A-R6A8</t>
  </si>
  <si>
    <t>CC Los Pueblos</t>
  </si>
  <si>
    <t>MR36H-HW</t>
  </si>
  <si>
    <t>Q3KB-HR6R-WHFS</t>
  </si>
  <si>
    <t>Q3AL-2GZ4-VDGJ</t>
  </si>
  <si>
    <t>Q2FY-8GDK-TZG9</t>
  </si>
  <si>
    <t>Q2KY-S7L9-YJMR</t>
  </si>
  <si>
    <t>AP not available-we did update-ports ID-ports-organizing</t>
  </si>
  <si>
    <t>Notes</t>
  </si>
  <si>
    <t>La hora de inicio fue cambiada de la 5am para las 7am</t>
  </si>
  <si>
    <t>La Doña</t>
  </si>
  <si>
    <t>P44</t>
  </si>
  <si>
    <t>P44K1</t>
  </si>
  <si>
    <t>Q2KY-S4PC-G58N</t>
  </si>
  <si>
    <t>Q3AL-TW7V-8GXE</t>
  </si>
  <si>
    <t>Q2KY-S3Y3-R59J</t>
  </si>
  <si>
    <t>P44K2</t>
  </si>
  <si>
    <t>El Parador</t>
  </si>
  <si>
    <t>P10</t>
  </si>
  <si>
    <t>Q3AL-2VWX-JGQM</t>
  </si>
  <si>
    <t>P10K1</t>
  </si>
  <si>
    <t>Q3KB-A6SM-3D3N</t>
  </si>
  <si>
    <t>Q3AL-NCMM-7FKC</t>
  </si>
  <si>
    <t>Altaplaza Mall</t>
  </si>
  <si>
    <t>Plaza Centennial</t>
  </si>
  <si>
    <t>Av. Ernesto T. Lefevre y Calle 82 Este</t>
  </si>
  <si>
    <t>Plaza Versalles</t>
  </si>
  <si>
    <t>Transístmica con Vía Brasil,</t>
  </si>
  <si>
    <t>Calle 50</t>
  </si>
  <si>
    <t>Ave. Balboa</t>
  </si>
  <si>
    <t>Town Center</t>
  </si>
  <si>
    <t>Antiguas Vías del Ferrocarril</t>
  </si>
  <si>
    <t>Plaza Comercial Villa Lobos</t>
  </si>
  <si>
    <t>Vacamonte</t>
  </si>
  <si>
    <t>La Espiga</t>
  </si>
  <si>
    <t>Centro Comerial La Marquesa</t>
  </si>
  <si>
    <t>Vía España (Hospital San Fernando)</t>
  </si>
  <si>
    <t>Ave. Justo Arosemena /Calle 34 Este</t>
  </si>
  <si>
    <t>Via Cincuentenario Esq. Av. 4 C Sur</t>
  </si>
  <si>
    <t xml:space="preserve">P29 </t>
  </si>
  <si>
    <t xml:space="preserve">P71 </t>
  </si>
  <si>
    <t xml:space="preserve">P73 </t>
  </si>
  <si>
    <t xml:space="preserve">P98 </t>
  </si>
  <si>
    <t xml:space="preserve">P08 </t>
  </si>
  <si>
    <t xml:space="preserve">P28 </t>
  </si>
  <si>
    <t xml:space="preserve">P12 </t>
  </si>
  <si>
    <t xml:space="preserve">P99 </t>
  </si>
  <si>
    <t xml:space="preserve">P09 </t>
  </si>
  <si>
    <t xml:space="preserve">P04 </t>
  </si>
  <si>
    <t xml:space="preserve">P11 </t>
  </si>
  <si>
    <t xml:space="preserve">P63 </t>
  </si>
  <si>
    <t xml:space="preserve">P68 </t>
  </si>
  <si>
    <t xml:space="preserve">P86 </t>
  </si>
  <si>
    <t xml:space="preserve">P52 </t>
  </si>
  <si>
    <t xml:space="preserve">P33 </t>
  </si>
  <si>
    <t>P33K1</t>
  </si>
  <si>
    <t>P59</t>
  </si>
  <si>
    <t>P59K1</t>
  </si>
  <si>
    <t>P37K1</t>
  </si>
  <si>
    <t>P37</t>
  </si>
  <si>
    <t>P71K2</t>
  </si>
  <si>
    <t>Q3AL-6D6J-FVAM</t>
  </si>
  <si>
    <t>Q3KB-KN95-ABMP</t>
  </si>
  <si>
    <t>MR36-HW</t>
  </si>
  <si>
    <t>Q3AL-UD79-BZAP</t>
  </si>
  <si>
    <t>Q3AL-TVLS-VAW8</t>
  </si>
  <si>
    <t>Q3AL-GKUS-Y8ZZ</t>
  </si>
  <si>
    <t>Q3AL-XUEQ-X8KC</t>
  </si>
  <si>
    <t>Q3AL-AEZ8-Y3UR</t>
  </si>
  <si>
    <t>Q3AL-5JTA-YMUT</t>
  </si>
  <si>
    <t>Q2FY-8GLS-D4VY</t>
  </si>
  <si>
    <t>Q3AL-WHKB-7N83</t>
  </si>
  <si>
    <t>Q3AL-TNG5-4WUY</t>
  </si>
  <si>
    <t>Q3AL-JDXA-7ZKY</t>
  </si>
  <si>
    <t>Q3AL-G3XT-R2DT</t>
  </si>
  <si>
    <t>Q3AL-C3EN-AHH3</t>
  </si>
  <si>
    <t>Q3KB-EF39-R7ZG</t>
  </si>
  <si>
    <t>Q3AL-XNXK-B6JP</t>
  </si>
  <si>
    <t>Reference</t>
  </si>
  <si>
    <t>P72</t>
  </si>
  <si>
    <t>P72K1</t>
  </si>
  <si>
    <t>P57</t>
  </si>
  <si>
    <t>Coronado Mall</t>
  </si>
  <si>
    <t>Q3AL-ABK9-RDZZ</t>
  </si>
  <si>
    <t>P57K1</t>
  </si>
  <si>
    <t>CDP not available the internet service</t>
  </si>
  <si>
    <t>CDP - Super Xtra Las Acacias</t>
  </si>
  <si>
    <t>Penonome</t>
  </si>
  <si>
    <t>P62</t>
  </si>
  <si>
    <t>CDP - Penonome</t>
  </si>
  <si>
    <t>P62K1</t>
  </si>
  <si>
    <t>CDP - Los Pueblos</t>
  </si>
  <si>
    <t>CDP - Plaza las Americas</t>
  </si>
  <si>
    <t>CDP - Metromall</t>
  </si>
  <si>
    <t>CDP - Alta Plaza</t>
  </si>
  <si>
    <t>CDP - La Espiga</t>
  </si>
  <si>
    <t>CDP - Coronado</t>
  </si>
  <si>
    <t>CDP - Terminal de transporte La Doña</t>
  </si>
  <si>
    <t>CDP - Centro comercial Super Xtra</t>
  </si>
  <si>
    <t>after the previous</t>
  </si>
  <si>
    <t>Q3AL-VFEW-6YK6</t>
  </si>
  <si>
    <t xml:space="preserve"> Q3KB-D3RC-ZQB6</t>
  </si>
  <si>
    <t># sites installed</t>
  </si>
  <si>
    <t>Progress</t>
  </si>
  <si>
    <t>The most recent installation</t>
  </si>
  <si>
    <t>How many calendar days transcurred</t>
  </si>
  <si>
    <t>Start date</t>
  </si>
  <si>
    <t>Arrival time</t>
  </si>
  <si>
    <t>waiting time for site access</t>
  </si>
  <si>
    <t>Early arrive</t>
  </si>
  <si>
    <t>Schedule supervision</t>
  </si>
  <si>
    <t xml:space="preserve">Accumulated       time Spent             all sites [hh]:[mm]:[ss] </t>
  </si>
  <si>
    <t>Average            time spent          per site [hh]:[mm]:[ss]</t>
  </si>
  <si>
    <t>P76</t>
  </si>
  <si>
    <t>La Cabima</t>
  </si>
  <si>
    <t>CDP - La Cabima minimall</t>
  </si>
  <si>
    <t>Q2KY-S79U-WBSL</t>
  </si>
  <si>
    <t>MR68-HW</t>
  </si>
  <si>
    <t>P76K1</t>
  </si>
  <si>
    <t>P76K2</t>
  </si>
  <si>
    <t>CDP - La Cabima, Carr Transistmica</t>
  </si>
  <si>
    <t>TBD</t>
  </si>
  <si>
    <t>Omited</t>
  </si>
  <si>
    <t>P34</t>
  </si>
  <si>
    <t>Calidonia frente a local Pantera Rosa</t>
  </si>
  <si>
    <t>Q3AL-8PTY-XDN6</t>
  </si>
  <si>
    <t>Q2KY-RY98-B32P</t>
  </si>
  <si>
    <t>P13</t>
  </si>
  <si>
    <t>Penonome Este</t>
  </si>
  <si>
    <t>CDP - Penonome plaza los Naranjos</t>
  </si>
  <si>
    <t>P17</t>
  </si>
  <si>
    <t>Estacionamientos de Albrook Mall</t>
  </si>
  <si>
    <t>P92</t>
  </si>
  <si>
    <t>Las Anclas Mall</t>
  </si>
  <si>
    <t>P106</t>
  </si>
  <si>
    <t>P39</t>
  </si>
  <si>
    <t xml:space="preserve"> Albrook mall, Terminal de Transporte </t>
  </si>
  <si>
    <t>P07</t>
  </si>
  <si>
    <t>Plaza La Mitra, La Chorrera</t>
  </si>
  <si>
    <t>P06</t>
  </si>
  <si>
    <t>P06K1</t>
  </si>
  <si>
    <t>CDP - Las Arcadas del Hotel El Panamá</t>
  </si>
  <si>
    <t>Las Arcadas del Hotel El Panamá</t>
  </si>
  <si>
    <t>P47</t>
  </si>
  <si>
    <t>Peatonal, Ave Central</t>
  </si>
  <si>
    <t>Start time accumulated  deviation [hh]:[mm]:[ss]</t>
  </si>
  <si>
    <t>Next sites on roadmap</t>
  </si>
  <si>
    <t>Planned Time</t>
  </si>
  <si>
    <t>Planned/Arrival Avg.time</t>
  </si>
  <si>
    <t>Real Start time</t>
  </si>
  <si>
    <t>Planned Date</t>
  </si>
  <si>
    <t>Real/Arrival Avg.time</t>
  </si>
  <si>
    <t>45 min delayed watting the restaurant manager</t>
  </si>
  <si>
    <t>50 min delayed watting the restaurant manager</t>
  </si>
  <si>
    <t>lunes, 12 de enero de 2026</t>
  </si>
  <si>
    <t>miercoles, 14 de enero de 2026</t>
  </si>
  <si>
    <t>jueves, 15 de enero de 2026</t>
  </si>
  <si>
    <t>"</t>
  </si>
  <si>
    <t>viernes, 16 de enero de 2026</t>
  </si>
  <si>
    <t>lunes, 19 de enero de 2026</t>
  </si>
  <si>
    <t>miercoles, 21 de enero de 2016</t>
  </si>
  <si>
    <t>jueves, 22 de enero de 2026</t>
  </si>
  <si>
    <t>viernes, 23 de enero de 2026</t>
  </si>
  <si>
    <t>lunes, 26 de enero de 2026</t>
  </si>
  <si>
    <t>martes, 27 de enero de 2026</t>
  </si>
  <si>
    <t>lunes, 02 de febrero de 2026</t>
  </si>
  <si>
    <t>martes, 03 de febrero de 2026</t>
  </si>
  <si>
    <t>miercoles, 04 de febrero de 2026</t>
  </si>
  <si>
    <t>jueves, 05 de febrero de 2026</t>
  </si>
  <si>
    <t>viernes, 06 de febrero de 2026</t>
  </si>
  <si>
    <t>lunes, 09 de febrero de 2026</t>
  </si>
  <si>
    <t>martes, 10 de febrero de 2026</t>
  </si>
  <si>
    <t>miercoles, 11 de febrero de 2026</t>
  </si>
  <si>
    <t>jueves, 12 de febrero de 2026</t>
  </si>
  <si>
    <t>viernes, 13 de febrero de 2026</t>
  </si>
  <si>
    <t>lunes, 16 de febrero de 2026</t>
  </si>
  <si>
    <t>martes, 17 de febrero de 2026</t>
  </si>
  <si>
    <t>miercoles, 18 de febrero de 2026</t>
  </si>
  <si>
    <t>jueves, 19 de febrero de 2026</t>
  </si>
  <si>
    <t>viernes, 20 de febrero de 2026</t>
  </si>
  <si>
    <t>lunes, 23 de febrero de 2026</t>
  </si>
  <si>
    <t>martes, 24 de febrero de 2026</t>
  </si>
  <si>
    <t>miercoles, 25 de febrero de 2026</t>
  </si>
  <si>
    <t>jueves, 26 de febrero de 2026</t>
  </si>
  <si>
    <t>viernes, 27 de febrero de 2026</t>
  </si>
  <si>
    <t>Total Installed</t>
  </si>
  <si>
    <t>Total Quantity sites planned</t>
  </si>
  <si>
    <t>Start delayed because no access to parking lot</t>
  </si>
  <si>
    <t xml:space="preserve"> (Q3AL-AF64-ZNN8)</t>
  </si>
  <si>
    <t>(TBC)</t>
  </si>
  <si>
    <t>Q3AL-PP5U-H8W2</t>
  </si>
  <si>
    <t>Q3AL-33Q5-PHRZ</t>
  </si>
  <si>
    <t>Q3KB-HQY4-KZL9</t>
  </si>
  <si>
    <t>Q3AL-YHRX-U7GK</t>
  </si>
  <si>
    <t>Q2FY-8GZX-QR8Y</t>
  </si>
  <si>
    <t>Ctro Comercial El Paso Plaza Aguadulce</t>
  </si>
  <si>
    <t>P21</t>
  </si>
  <si>
    <t xml:space="preserve"> Villa Zaita Edificio P.H. Plaza Zaita</t>
  </si>
  <si>
    <t>15 min delayed watting the restaurant manager</t>
  </si>
  <si>
    <t>13 min delayed watting the restaurant manager</t>
  </si>
  <si>
    <t>P95</t>
  </si>
  <si>
    <t>Ctro Comercial Costa Verde</t>
  </si>
  <si>
    <t>P20</t>
  </si>
  <si>
    <t>P112</t>
  </si>
  <si>
    <t>Av. Dr. Belisario Porras 4802</t>
  </si>
  <si>
    <t>Centro Comercal Mis Provincias</t>
  </si>
  <si>
    <t>P19</t>
  </si>
  <si>
    <t>P19K2</t>
  </si>
  <si>
    <t>P19K3</t>
  </si>
  <si>
    <t>Plaza Comercial San Isidro</t>
  </si>
  <si>
    <t>Supermecardo El Fuerte Villa Zaita</t>
  </si>
  <si>
    <t>P83</t>
  </si>
  <si>
    <t>Megamall, Foodcourt local L14 y L15</t>
  </si>
  <si>
    <t>Borde Centro Comercial Megamall</t>
  </si>
  <si>
    <t>Megamall, frente al Costo</t>
  </si>
  <si>
    <t>P83K3</t>
  </si>
  <si>
    <t xml:space="preserve"> Megamall, Super 99</t>
  </si>
  <si>
    <t>P83K2</t>
  </si>
  <si>
    <t>Megamall, frente a Madison y Oca Loca</t>
  </si>
  <si>
    <t>P83K1</t>
  </si>
  <si>
    <t>P22</t>
  </si>
  <si>
    <t>P22K3</t>
  </si>
  <si>
    <t>P22K2</t>
  </si>
  <si>
    <t>P22K1</t>
  </si>
  <si>
    <t>El Bosque, calle las Palmeras</t>
  </si>
  <si>
    <t>Dentro de la Gran Estación Linea 1</t>
  </si>
  <si>
    <t>Frente al Supermercado El Fuerte, Monte Oscuro</t>
  </si>
  <si>
    <t>Super Xtra de Pan de Azucar, Centro Comercial Oriental</t>
  </si>
  <si>
    <t>Marbella</t>
  </si>
  <si>
    <t>P70</t>
  </si>
  <si>
    <t>Estacionamientos del Centro Comercial Westland Mall</t>
  </si>
  <si>
    <t>Pacora Montemadero</t>
  </si>
  <si>
    <t>P05</t>
  </si>
  <si>
    <t xml:space="preserve">El Dorado </t>
  </si>
  <si>
    <t>P05K1</t>
  </si>
  <si>
    <t>EL Dorado Mall</t>
  </si>
  <si>
    <t>P66</t>
  </si>
  <si>
    <t>P66K1</t>
  </si>
  <si>
    <t>Westland Mall, Foodcourt Local PA-N1</t>
  </si>
  <si>
    <t>Westland Mall, Foodcourt Local piso 2</t>
  </si>
  <si>
    <t>P93</t>
  </si>
  <si>
    <t>P93K2</t>
  </si>
  <si>
    <t>P93K1</t>
  </si>
  <si>
    <t>Estacionamientos, Los Andes Mall</t>
  </si>
  <si>
    <t>Frente a Popeyes, Los Andes Mall</t>
  </si>
  <si>
    <t>Frente a Super 99, Los Andes Mall</t>
  </si>
  <si>
    <t>Frente a entrada de Los Andes Mall</t>
  </si>
  <si>
    <t>P82</t>
  </si>
  <si>
    <t>Av. 17 de Abril, Changuinola Centro</t>
  </si>
  <si>
    <t>Q3AL-CBZ4-YVEK</t>
  </si>
  <si>
    <t>MR44</t>
  </si>
  <si>
    <t>Q3AL-ZQP2-K5DZ</t>
  </si>
  <si>
    <t>Q3AL-VU6T-95LD</t>
  </si>
  <si>
    <t>Q3AL-SRC9-9E7C</t>
  </si>
  <si>
    <t xml:space="preserve">MR44 </t>
  </si>
  <si>
    <t>Mañanitas</t>
  </si>
  <si>
    <t>P79</t>
  </si>
  <si>
    <t>P13K1</t>
  </si>
  <si>
    <t>Previous date</t>
  </si>
  <si>
    <t>P93K3</t>
  </si>
  <si>
    <t>Los Andes mall, Local 030</t>
  </si>
  <si>
    <t>Los Andes Mall, Piso 2</t>
  </si>
  <si>
    <t>Los Andes Mall, Piso 1</t>
  </si>
  <si>
    <t>P67</t>
  </si>
  <si>
    <t>P67K2</t>
  </si>
  <si>
    <t>P67K1</t>
  </si>
  <si>
    <t>Q2KY-S74T-WPQH</t>
  </si>
  <si>
    <t>MX68</t>
  </si>
  <si>
    <t>MR36</t>
  </si>
  <si>
    <t>Q3KB-VTDL-WVHR</t>
  </si>
  <si>
    <t>Q3KB-NK2E-62DK</t>
  </si>
  <si>
    <t>Q3KB-AMLJ-8Y8V</t>
  </si>
  <si>
    <t>Q3AL-TV9N-J4EG</t>
  </si>
  <si>
    <t>Q3AL-UNUZ-CBPA</t>
  </si>
  <si>
    <t>Q3KB-5HSH-X2VN</t>
  </si>
  <si>
    <t>Q3KB-TMES-6NDP</t>
  </si>
  <si>
    <t>Q3AL-9QC5-BCUH</t>
  </si>
  <si>
    <t>Q3AL-QEJZ-9B4R</t>
  </si>
  <si>
    <t>Q3KB-DN2U-BZEU</t>
  </si>
  <si>
    <t>Q2FY-A3WB-8RV7</t>
  </si>
  <si>
    <t>MX67</t>
  </si>
  <si>
    <t>Q3KB-QTBM-ZHY5</t>
  </si>
  <si>
    <t>Not recieved by formal ticket from email (Device 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</si>
</sst>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F400]h:mm:ss\ AM/PM"/>
    <numFmt numFmtId="166" formatCode="h:mm;@"/>
    <numFmt numFmtId="167" formatCode="[$-409]h:mm\ AM/PM;@"/>
  </numFmts>
  <fonts count="2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4"/>
      <color rgb="FF1F1F1F"/>
      <name val="Inherit"/>
    </font>
    <font>
      <u/>
      <sz val="11"/>
      <color theme="10"/>
      <name val="Calibri"/>
      <family val="2"/>
      <scheme val="minor"/>
    </font>
    <font>
      <sz val="10"/>
      <color theme="1"/>
      <name val="Arial Black"/>
      <family val="2"/>
    </font>
    <font>
      <sz val="11"/>
      <color theme="1"/>
      <name val="Arial Black"/>
      <family val="2"/>
    </font>
    <font>
      <u/>
      <sz val="11"/>
      <color theme="10"/>
      <name val="Arial Black"/>
      <family val="2"/>
    </font>
    <font>
      <sz val="16"/>
      <color theme="0"/>
      <name val="Arial Black"/>
      <family val="2"/>
    </font>
    <font>
      <sz val="8"/>
      <color theme="0" tint="-0.249977111117893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9B085"/>
        <bgColor indexed="64"/>
      </patternFill>
    </fill>
    <fill>
      <patternFill patternType="solid">
        <fgColor rgb="FFD4E3CB"/>
        <bgColor indexed="64"/>
      </patternFill>
    </fill>
    <fill>
      <patternFill patternType="solid">
        <fgColor rgb="FFECF1D3"/>
        <bgColor indexed="64"/>
      </patternFill>
    </fill>
    <fill>
      <patternFill patternType="solid">
        <fgColor rgb="FFB5CD81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rgb="FFC5E4ED"/>
        <bgColor indexed="64"/>
      </patternFill>
    </fill>
    <fill>
      <patternFill patternType="solid">
        <fgColor rgb="FFA49960"/>
        <bgColor indexed="64"/>
      </patternFill>
    </fill>
    <fill>
      <patternFill patternType="solid">
        <fgColor rgb="FF81A042"/>
        <bgColor indexed="64"/>
      </patternFill>
    </fill>
    <fill>
      <patternFill patternType="solid">
        <fgColor rgb="FFA0D2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13E3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3696AC"/>
        <bgColor indexed="64"/>
      </patternFill>
    </fill>
    <fill>
      <patternFill patternType="solid">
        <fgColor rgb="FF90DE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0E8B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5CE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  <xf numFmtId="164" fontId="2" fillId="0" borderId="0" xfId="0" applyNumberFormat="1" applyFont="1" applyAlignment="1">
      <alignment horizontal="left" vertical="center" wrapText="1"/>
    </xf>
    <xf numFmtId="18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8" fontId="2" fillId="0" borderId="0" xfId="0" applyNumberFormat="1" applyFont="1" applyAlignment="1">
      <alignment horizontal="left" vertical="center" wrapText="1"/>
    </xf>
    <xf numFmtId="18" fontId="2" fillId="0" borderId="0" xfId="0" applyNumberFormat="1" applyFont="1" applyAlignment="1">
      <alignment horizontal="left" wrapText="1"/>
    </xf>
    <xf numFmtId="2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6" fontId="2" fillId="0" borderId="0" xfId="0" applyNumberFormat="1" applyFont="1" applyAlignment="1">
      <alignment horizontal="left" vertical="center"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right" wrapText="1"/>
    </xf>
    <xf numFmtId="2" fontId="0" fillId="0" borderId="7" xfId="0" applyNumberFormat="1" applyBorder="1" applyAlignment="1">
      <alignment horizontal="left" wrapText="1"/>
    </xf>
    <xf numFmtId="164" fontId="6" fillId="0" borderId="0" xfId="0" applyNumberFormat="1" applyFont="1" applyAlignment="1">
      <alignment horizontal="left" vertical="center" wrapText="1"/>
    </xf>
    <xf numFmtId="18" fontId="6" fillId="0" borderId="0" xfId="0" applyNumberFormat="1" applyFont="1" applyAlignment="1">
      <alignment horizontal="left" vertical="center" wrapText="1"/>
    </xf>
    <xf numFmtId="166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18" fontId="6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46" fontId="0" fillId="0" borderId="1" xfId="0" applyNumberFormat="1" applyBorder="1" applyAlignment="1">
      <alignment horizontal="center" wrapText="1"/>
    </xf>
    <xf numFmtId="166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14" fontId="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166" fontId="0" fillId="0" borderId="0" xfId="0" applyNumberFormat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0" fillId="0" borderId="0" xfId="0" applyNumberFormat="1" applyAlignment="1">
      <alignment horizontal="center" wrapText="1"/>
    </xf>
    <xf numFmtId="46" fontId="0" fillId="0" borderId="0" xfId="0" applyNumberFormat="1" applyAlignment="1">
      <alignment horizontal="center" vertical="center" wrapText="1"/>
    </xf>
    <xf numFmtId="166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horizontal="left" vertical="center" wrapText="1"/>
    </xf>
    <xf numFmtId="166" fontId="5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3" fillId="24" borderId="0" xfId="0" applyFont="1" applyFill="1" applyAlignment="1">
      <alignment horizontal="center" vertical="center" wrapText="1"/>
    </xf>
    <xf numFmtId="20" fontId="13" fillId="23" borderId="0" xfId="0" applyNumberFormat="1" applyFont="1" applyFill="1" applyAlignment="1">
      <alignment horizontal="center" vertical="center" wrapText="1"/>
    </xf>
    <xf numFmtId="0" fontId="13" fillId="2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46" fontId="13" fillId="14" borderId="0" xfId="0" applyNumberFormat="1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46" fontId="13" fillId="17" borderId="0" xfId="0" applyNumberFormat="1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1" fontId="13" fillId="19" borderId="0" xfId="0" applyNumberFormat="1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10" fontId="13" fillId="22" borderId="0" xfId="0" applyNumberFormat="1" applyFont="1" applyFill="1" applyAlignment="1">
      <alignment horizontal="center" vertical="center" wrapText="1"/>
    </xf>
    <xf numFmtId="0" fontId="13" fillId="27" borderId="0" xfId="0" applyFont="1" applyFill="1" applyAlignment="1">
      <alignment horizontal="center" vertical="center" wrapText="1"/>
    </xf>
    <xf numFmtId="0" fontId="13" fillId="26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1" fontId="13" fillId="21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20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  <xf numFmtId="14" fontId="13" fillId="29" borderId="0" xfId="0" applyNumberFormat="1" applyFont="1" applyFill="1" applyAlignment="1">
      <alignment horizontal="center" vertical="center" wrapText="1"/>
    </xf>
    <xf numFmtId="0" fontId="13" fillId="8" borderId="0" xfId="0" applyFont="1" applyFill="1" applyAlignment="1">
      <alignment vertical="center" wrapText="1"/>
    </xf>
    <xf numFmtId="167" fontId="13" fillId="16" borderId="0" xfId="0" applyNumberFormat="1" applyFont="1" applyFill="1" applyAlignment="1">
      <alignment vertical="center" wrapText="1"/>
    </xf>
    <xf numFmtId="166" fontId="0" fillId="0" borderId="1" xfId="0" applyNumberFormat="1" applyBorder="1" applyAlignment="1">
      <alignment horizontal="left" wrapText="1"/>
    </xf>
    <xf numFmtId="165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left" vertical="center" wrapText="1"/>
    </xf>
    <xf numFmtId="2" fontId="0" fillId="33" borderId="0" xfId="0" applyNumberFormat="1" applyFill="1" applyAlignment="1">
      <alignment horizontal="left" wrapText="1"/>
    </xf>
    <xf numFmtId="0" fontId="6" fillId="33" borderId="0" xfId="0" applyFont="1" applyFill="1" applyAlignment="1">
      <alignment horizontal="left" wrapText="1"/>
    </xf>
    <xf numFmtId="2" fontId="9" fillId="33" borderId="0" xfId="0" applyNumberFormat="1" applyFont="1" applyFill="1" applyAlignment="1">
      <alignment horizontal="left" wrapText="1"/>
    </xf>
    <xf numFmtId="0" fontId="2" fillId="33" borderId="0" xfId="0" applyFont="1" applyFill="1" applyAlignment="1">
      <alignment horizontal="left" wrapText="1"/>
    </xf>
    <xf numFmtId="18" fontId="6" fillId="33" borderId="0" xfId="0" applyNumberFormat="1" applyFont="1" applyFill="1" applyAlignment="1">
      <alignment horizontal="left" wrapText="1"/>
    </xf>
    <xf numFmtId="0" fontId="6" fillId="33" borderId="0" xfId="0" applyFont="1" applyFill="1" applyAlignment="1">
      <alignment horizontal="left" vertical="center" wrapText="1"/>
    </xf>
    <xf numFmtId="0" fontId="2" fillId="33" borderId="0" xfId="0" applyFont="1" applyFill="1" applyAlignment="1">
      <alignment vertical="center" wrapText="1"/>
    </xf>
    <xf numFmtId="0" fontId="0" fillId="0" borderId="7" xfId="0" applyBorder="1" applyAlignment="1">
      <alignment wrapText="1"/>
    </xf>
    <xf numFmtId="165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46" fontId="0" fillId="0" borderId="1" xfId="0" applyNumberFormat="1" applyBorder="1" applyAlignment="1">
      <alignment wrapText="1"/>
    </xf>
    <xf numFmtId="166" fontId="6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3" fillId="24" borderId="8" xfId="0" applyFont="1" applyFill="1" applyBorder="1" applyAlignment="1">
      <alignment vertical="center" wrapText="1"/>
    </xf>
    <xf numFmtId="0" fontId="13" fillId="24" borderId="6" xfId="0" applyFont="1" applyFill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165" fontId="0" fillId="0" borderId="0" xfId="0" applyNumberForma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1" fontId="0" fillId="0" borderId="0" xfId="0" applyNumberFormat="1" applyAlignment="1">
      <alignment horizontal="left" wrapText="1"/>
    </xf>
    <xf numFmtId="2" fontId="19" fillId="36" borderId="0" xfId="0" applyNumberFormat="1" applyFont="1" applyFill="1" applyAlignment="1">
      <alignment horizontal="left" wrapText="1"/>
    </xf>
    <xf numFmtId="2" fontId="0" fillId="36" borderId="0" xfId="0" applyNumberFormat="1" applyFill="1" applyAlignment="1">
      <alignment horizontal="left" wrapText="1"/>
    </xf>
    <xf numFmtId="2" fontId="20" fillId="36" borderId="0" xfId="0" applyNumberFormat="1" applyFont="1" applyFill="1" applyAlignment="1">
      <alignment horizontal="left" wrapText="1"/>
    </xf>
    <xf numFmtId="0" fontId="13" fillId="34" borderId="8" xfId="0" applyFont="1" applyFill="1" applyBorder="1" applyAlignment="1">
      <alignment horizontal="center" vertical="center" wrapText="1"/>
    </xf>
    <xf numFmtId="0" fontId="13" fillId="34" borderId="6" xfId="0" applyFont="1" applyFill="1" applyBorder="1" applyAlignment="1">
      <alignment horizontal="center" vertical="center" wrapText="1"/>
    </xf>
    <xf numFmtId="0" fontId="13" fillId="35" borderId="8" xfId="0" applyFont="1" applyFill="1" applyBorder="1" applyAlignment="1">
      <alignment horizontal="center" vertical="center" wrapText="1"/>
    </xf>
    <xf numFmtId="0" fontId="13" fillId="35" borderId="6" xfId="0" applyFont="1" applyFill="1" applyBorder="1" applyAlignment="1">
      <alignment horizontal="center" vertical="center" wrapText="1"/>
    </xf>
    <xf numFmtId="0" fontId="15" fillId="24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 vertical="center" wrapText="1"/>
    </xf>
    <xf numFmtId="46" fontId="13" fillId="15" borderId="0" xfId="0" applyNumberFormat="1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165" fontId="13" fillId="32" borderId="0" xfId="0" applyNumberFormat="1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14" fontId="13" fillId="18" borderId="0" xfId="0" applyNumberFormat="1" applyFont="1" applyFill="1" applyAlignment="1">
      <alignment horizontal="center" vertical="center"/>
    </xf>
    <xf numFmtId="165" fontId="13" fillId="31" borderId="0" xfId="0" applyNumberFormat="1" applyFont="1" applyFill="1" applyAlignment="1">
      <alignment horizontal="center" vertical="center" wrapText="1"/>
    </xf>
    <xf numFmtId="0" fontId="13" fillId="30" borderId="0" xfId="0" applyFont="1" applyFill="1" applyAlignment="1">
      <alignment horizontal="center" vertical="center" wrapText="1"/>
    </xf>
    <xf numFmtId="0" fontId="14" fillId="25" borderId="0" xfId="1" quotePrefix="1" applyFont="1" applyFill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4">
    <dxf>
      <alignment horizontal="right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1" indent="0" justifyLastLine="0" shrinkToFit="0" readingOrder="0"/>
    </dxf>
    <dxf>
      <numFmt numFmtId="2" formatCode="0.00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66" formatCode="h:mm;@"/>
      <alignment horizontal="center" vertical="bottom" textRotation="0" wrapText="1" indent="0" justifyLastLine="0" shrinkToFit="0" readingOrder="0"/>
    </dxf>
    <dxf>
      <numFmt numFmtId="166" formatCode="h:mm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[$-F400]h:mm:ss\ AM/PM"/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60000"/>
      <color rgb="FFFEF5CE"/>
      <color rgb="FFE0E8B6"/>
      <color rgb="FFE6E6E6"/>
      <color rgb="FF90DEFA"/>
      <color rgb="FF3696AC"/>
      <color rgb="FFA0D2E0"/>
      <color rgb="FFFFCC66"/>
      <color rgb="FF13E3D9"/>
      <color rgb="FF81A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030319163841179E-2"/>
          <c:y val="0"/>
          <c:w val="0.93596968083615883"/>
          <c:h val="0.9002775153105862"/>
        </c:manualLayout>
      </c:layout>
      <c:lineChart>
        <c:grouping val="standard"/>
        <c:varyColors val="0"/>
        <c:ser>
          <c:idx val="0"/>
          <c:order val="0"/>
          <c:tx>
            <c:strRef>
              <c:f>'Schedule supervision'!$B$1</c:f>
              <c:strCache>
                <c:ptCount val="1"/>
                <c:pt idx="0">
                  <c:v>Initial Time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'Schedule supervision'!$D$2:$D$16</c:f>
              <c:numCache>
                <c:formatCode>h:mm;@</c:formatCode>
                <c:ptCount val="15"/>
                <c:pt idx="0">
                  <c:v>0.35208333333333336</c:v>
                </c:pt>
                <c:pt idx="1">
                  <c:v>3.125E-2</c:v>
                </c:pt>
                <c:pt idx="2">
                  <c:v>0.20694444444444443</c:v>
                </c:pt>
                <c:pt idx="3">
                  <c:v>0.29166666666666669</c:v>
                </c:pt>
                <c:pt idx="4">
                  <c:v>0.18541666666666667</c:v>
                </c:pt>
                <c:pt idx="5">
                  <c:v>0.17569444444444443</c:v>
                </c:pt>
                <c:pt idx="6">
                  <c:v>0.17291666666666666</c:v>
                </c:pt>
                <c:pt idx="7">
                  <c:v>0.21666666666666667</c:v>
                </c:pt>
                <c:pt idx="8">
                  <c:v>0.22361111111111112</c:v>
                </c:pt>
                <c:pt idx="9">
                  <c:v>0.25416666666666665</c:v>
                </c:pt>
                <c:pt idx="10">
                  <c:v>0.32291666666666669</c:v>
                </c:pt>
                <c:pt idx="11">
                  <c:v>0.21944444444444444</c:v>
                </c:pt>
                <c:pt idx="12">
                  <c:v>0.21319444444444444</c:v>
                </c:pt>
                <c:pt idx="13">
                  <c:v>0.30416666666666664</c:v>
                </c:pt>
                <c:pt idx="14">
                  <c:v>0.22638888888888889</c:v>
                </c:pt>
              </c:numCache>
            </c:numRef>
          </c:cat>
          <c:val>
            <c:numRef>
              <c:f>'Schedule supervision'!$B$2:$B$46</c:f>
              <c:numCache>
                <c:formatCode>h:mm;@</c:formatCode>
                <c:ptCount val="45"/>
                <c:pt idx="0">
                  <c:v>0.33333333333333331</c:v>
                </c:pt>
                <c:pt idx="1">
                  <c:v>4.1666666666666664E-2</c:v>
                </c:pt>
                <c:pt idx="2">
                  <c:v>0.20833333333333334</c:v>
                </c:pt>
                <c:pt idx="3">
                  <c:v>0.29166666666666669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  <c:pt idx="7">
                  <c:v>0.20833333333333334</c:v>
                </c:pt>
                <c:pt idx="8">
                  <c:v>0.22916666666666666</c:v>
                </c:pt>
                <c:pt idx="9">
                  <c:v>0.25</c:v>
                </c:pt>
                <c:pt idx="10">
                  <c:v>0.33333333333333331</c:v>
                </c:pt>
                <c:pt idx="11">
                  <c:v>0.20833333333333334</c:v>
                </c:pt>
                <c:pt idx="12">
                  <c:v>0.20833333333333334</c:v>
                </c:pt>
                <c:pt idx="13">
                  <c:v>0.29166666666666669</c:v>
                </c:pt>
                <c:pt idx="14">
                  <c:v>0.20833333333333334</c:v>
                </c:pt>
                <c:pt idx="15">
                  <c:v>0.20833333333333334</c:v>
                </c:pt>
                <c:pt idx="16">
                  <c:v>0.20833333333333334</c:v>
                </c:pt>
                <c:pt idx="17">
                  <c:v>0.20833333333333334</c:v>
                </c:pt>
                <c:pt idx="18">
                  <c:v>0.20833333333333334</c:v>
                </c:pt>
                <c:pt idx="19">
                  <c:v>0.20833333333333334</c:v>
                </c:pt>
                <c:pt idx="20">
                  <c:v>0.22916666666666666</c:v>
                </c:pt>
                <c:pt idx="21">
                  <c:v>0.33333333333333331</c:v>
                </c:pt>
                <c:pt idx="22">
                  <c:v>0.20833333333333334</c:v>
                </c:pt>
                <c:pt idx="23">
                  <c:v>0.33333333333333331</c:v>
                </c:pt>
                <c:pt idx="24">
                  <c:v>0.20833333333333334</c:v>
                </c:pt>
                <c:pt idx="25">
                  <c:v>0.16666666666666666</c:v>
                </c:pt>
                <c:pt idx="26">
                  <c:v>0.20833333333333334</c:v>
                </c:pt>
                <c:pt idx="27">
                  <c:v>0.20833333333333334</c:v>
                </c:pt>
                <c:pt idx="28">
                  <c:v>0.20833333333333334</c:v>
                </c:pt>
                <c:pt idx="29">
                  <c:v>0.20833333333333334</c:v>
                </c:pt>
                <c:pt idx="30">
                  <c:v>0.20833333333333334</c:v>
                </c:pt>
                <c:pt idx="31">
                  <c:v>0.20833333333333334</c:v>
                </c:pt>
                <c:pt idx="32">
                  <c:v>0.20833333333333334</c:v>
                </c:pt>
                <c:pt idx="33">
                  <c:v>0.22916666666666666</c:v>
                </c:pt>
                <c:pt idx="34">
                  <c:v>0.22916666666666666</c:v>
                </c:pt>
                <c:pt idx="35">
                  <c:v>0.39583333333333331</c:v>
                </c:pt>
                <c:pt idx="36">
                  <c:v>0.20833333333333334</c:v>
                </c:pt>
                <c:pt idx="37">
                  <c:v>0.20833333333333334</c:v>
                </c:pt>
                <c:pt idx="38">
                  <c:v>0.20833333333333334</c:v>
                </c:pt>
                <c:pt idx="39">
                  <c:v>0.22916666666666666</c:v>
                </c:pt>
                <c:pt idx="40">
                  <c:v>0.20833333333333334</c:v>
                </c:pt>
                <c:pt idx="41">
                  <c:v>0.22916666666666666</c:v>
                </c:pt>
                <c:pt idx="42">
                  <c:v>0.22916666666666666</c:v>
                </c:pt>
                <c:pt idx="43">
                  <c:v>0.20833333333333334</c:v>
                </c:pt>
                <c:pt idx="44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E-42AF-BE46-BA52D677E62E}"/>
            </c:ext>
          </c:extLst>
        </c:ser>
        <c:ser>
          <c:idx val="1"/>
          <c:order val="1"/>
          <c:tx>
            <c:strRef>
              <c:f>'Schedule supervision'!$C$1</c:f>
              <c:strCache>
                <c:ptCount val="1"/>
                <c:pt idx="0">
                  <c:v>Arrival time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'Schedule supervision'!$D$2:$D$16</c:f>
              <c:numCache>
                <c:formatCode>h:mm;@</c:formatCode>
                <c:ptCount val="15"/>
                <c:pt idx="0">
                  <c:v>0.35208333333333336</c:v>
                </c:pt>
                <c:pt idx="1">
                  <c:v>3.125E-2</c:v>
                </c:pt>
                <c:pt idx="2">
                  <c:v>0.20694444444444443</c:v>
                </c:pt>
                <c:pt idx="3">
                  <c:v>0.29166666666666669</c:v>
                </c:pt>
                <c:pt idx="4">
                  <c:v>0.18541666666666667</c:v>
                </c:pt>
                <c:pt idx="5">
                  <c:v>0.17569444444444443</c:v>
                </c:pt>
                <c:pt idx="6">
                  <c:v>0.17291666666666666</c:v>
                </c:pt>
                <c:pt idx="7">
                  <c:v>0.21666666666666667</c:v>
                </c:pt>
                <c:pt idx="8">
                  <c:v>0.22361111111111112</c:v>
                </c:pt>
                <c:pt idx="9">
                  <c:v>0.25416666666666665</c:v>
                </c:pt>
                <c:pt idx="10">
                  <c:v>0.32291666666666669</c:v>
                </c:pt>
                <c:pt idx="11">
                  <c:v>0.21944444444444444</c:v>
                </c:pt>
                <c:pt idx="12">
                  <c:v>0.21319444444444444</c:v>
                </c:pt>
                <c:pt idx="13">
                  <c:v>0.30416666666666664</c:v>
                </c:pt>
                <c:pt idx="14">
                  <c:v>0.22638888888888889</c:v>
                </c:pt>
              </c:numCache>
            </c:numRef>
          </c:cat>
          <c:val>
            <c:numRef>
              <c:f>'Schedule supervision'!$C$2:$C$46</c:f>
              <c:numCache>
                <c:formatCode>h:mm;@</c:formatCode>
                <c:ptCount val="45"/>
                <c:pt idx="0">
                  <c:v>0.35138888888888886</c:v>
                </c:pt>
                <c:pt idx="1">
                  <c:v>2.9861111111111113E-2</c:v>
                </c:pt>
                <c:pt idx="2">
                  <c:v>0.2048611111111111</c:v>
                </c:pt>
                <c:pt idx="3">
                  <c:v>0.28472222222222221</c:v>
                </c:pt>
                <c:pt idx="4">
                  <c:v>0.18402777777777779</c:v>
                </c:pt>
                <c:pt idx="5">
                  <c:v>0.17569444444444443</c:v>
                </c:pt>
                <c:pt idx="6">
                  <c:v>0.16875000000000001</c:v>
                </c:pt>
                <c:pt idx="7">
                  <c:v>0.20902777777777778</c:v>
                </c:pt>
                <c:pt idx="8">
                  <c:v>0.22152777777777777</c:v>
                </c:pt>
                <c:pt idx="9">
                  <c:v>0.24930555555555556</c:v>
                </c:pt>
                <c:pt idx="10">
                  <c:v>0.29444444444444445</c:v>
                </c:pt>
                <c:pt idx="11">
                  <c:v>0.21249999999999999</c:v>
                </c:pt>
                <c:pt idx="12">
                  <c:v>0.21180555555555555</c:v>
                </c:pt>
                <c:pt idx="13">
                  <c:v>0.2951388888888889</c:v>
                </c:pt>
                <c:pt idx="14">
                  <c:v>0.22361111111111112</c:v>
                </c:pt>
                <c:pt idx="15">
                  <c:v>0.2076388888888889</c:v>
                </c:pt>
                <c:pt idx="16">
                  <c:v>0.21597222222222223</c:v>
                </c:pt>
                <c:pt idx="17">
                  <c:v>0.23402777777777778</c:v>
                </c:pt>
                <c:pt idx="18">
                  <c:v>0.21111111111111111</c:v>
                </c:pt>
                <c:pt idx="19">
                  <c:v>0.21249999999999999</c:v>
                </c:pt>
                <c:pt idx="20">
                  <c:v>0.23125000000000001</c:v>
                </c:pt>
                <c:pt idx="21">
                  <c:v>0.35555555555555557</c:v>
                </c:pt>
                <c:pt idx="22">
                  <c:v>0.21736111111111112</c:v>
                </c:pt>
                <c:pt idx="23">
                  <c:v>0.31874999999999998</c:v>
                </c:pt>
                <c:pt idx="24">
                  <c:v>0.20416666666666666</c:v>
                </c:pt>
                <c:pt idx="25">
                  <c:v>0.16527777777777777</c:v>
                </c:pt>
                <c:pt idx="26">
                  <c:v>0.2013888888888889</c:v>
                </c:pt>
                <c:pt idx="27">
                  <c:v>0.20277777777777778</c:v>
                </c:pt>
                <c:pt idx="28">
                  <c:v>0.2076388888888889</c:v>
                </c:pt>
                <c:pt idx="29">
                  <c:v>0.21666666666666667</c:v>
                </c:pt>
                <c:pt idx="30">
                  <c:v>0.21111111111111111</c:v>
                </c:pt>
                <c:pt idx="31">
                  <c:v>0.20833333333333334</c:v>
                </c:pt>
                <c:pt idx="32">
                  <c:v>0.20833333333333334</c:v>
                </c:pt>
                <c:pt idx="33">
                  <c:v>0.23194444444444445</c:v>
                </c:pt>
                <c:pt idx="34">
                  <c:v>0.23541666666666666</c:v>
                </c:pt>
                <c:pt idx="35">
                  <c:v>0.37986111111111109</c:v>
                </c:pt>
                <c:pt idx="36">
                  <c:v>0.20972222222222223</c:v>
                </c:pt>
                <c:pt idx="37">
                  <c:v>0.20416666666666666</c:v>
                </c:pt>
                <c:pt idx="38">
                  <c:v>0.2013888888888889</c:v>
                </c:pt>
                <c:pt idx="39">
                  <c:v>0.23472222222222222</c:v>
                </c:pt>
                <c:pt idx="40">
                  <c:v>0.24166666666666667</c:v>
                </c:pt>
                <c:pt idx="41">
                  <c:v>0.22916666666666666</c:v>
                </c:pt>
                <c:pt idx="42">
                  <c:v>0.22916666666666666</c:v>
                </c:pt>
                <c:pt idx="43">
                  <c:v>0.21180555555555555</c:v>
                </c:pt>
                <c:pt idx="44">
                  <c:v>0.33819444444444446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E-42AF-BE46-BA52D677E62E}"/>
            </c:ext>
          </c:extLst>
        </c:ser>
        <c:ser>
          <c:idx val="2"/>
          <c:order val="2"/>
          <c:tx>
            <c:strRef>
              <c:f>'Schedule supervision'!$D$1</c:f>
              <c:strCache>
                <c:ptCount val="1"/>
                <c:pt idx="0">
                  <c:v>Start time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'Schedule supervision'!$D$2:$D$16</c:f>
              <c:numCache>
                <c:formatCode>h:mm;@</c:formatCode>
                <c:ptCount val="15"/>
                <c:pt idx="0">
                  <c:v>0.35208333333333336</c:v>
                </c:pt>
                <c:pt idx="1">
                  <c:v>3.125E-2</c:v>
                </c:pt>
                <c:pt idx="2">
                  <c:v>0.20694444444444443</c:v>
                </c:pt>
                <c:pt idx="3">
                  <c:v>0.29166666666666669</c:v>
                </c:pt>
                <c:pt idx="4">
                  <c:v>0.18541666666666667</c:v>
                </c:pt>
                <c:pt idx="5">
                  <c:v>0.17569444444444443</c:v>
                </c:pt>
                <c:pt idx="6">
                  <c:v>0.17291666666666666</c:v>
                </c:pt>
                <c:pt idx="7">
                  <c:v>0.21666666666666667</c:v>
                </c:pt>
                <c:pt idx="8">
                  <c:v>0.22361111111111112</c:v>
                </c:pt>
                <c:pt idx="9">
                  <c:v>0.25416666666666665</c:v>
                </c:pt>
                <c:pt idx="10">
                  <c:v>0.32291666666666669</c:v>
                </c:pt>
                <c:pt idx="11">
                  <c:v>0.21944444444444444</c:v>
                </c:pt>
                <c:pt idx="12">
                  <c:v>0.21319444444444444</c:v>
                </c:pt>
                <c:pt idx="13">
                  <c:v>0.30416666666666664</c:v>
                </c:pt>
                <c:pt idx="14">
                  <c:v>0.22638888888888889</c:v>
                </c:pt>
              </c:numCache>
            </c:numRef>
          </c:cat>
          <c:val>
            <c:numRef>
              <c:f>'Schedule supervision'!$D$2:$D$46</c:f>
              <c:numCache>
                <c:formatCode>h:mm;@</c:formatCode>
                <c:ptCount val="45"/>
                <c:pt idx="0">
                  <c:v>0.35208333333333336</c:v>
                </c:pt>
                <c:pt idx="1">
                  <c:v>3.125E-2</c:v>
                </c:pt>
                <c:pt idx="2">
                  <c:v>0.20694444444444443</c:v>
                </c:pt>
                <c:pt idx="3">
                  <c:v>0.29166666666666669</c:v>
                </c:pt>
                <c:pt idx="4">
                  <c:v>0.18541666666666667</c:v>
                </c:pt>
                <c:pt idx="5">
                  <c:v>0.17569444444444443</c:v>
                </c:pt>
                <c:pt idx="6">
                  <c:v>0.17291666666666666</c:v>
                </c:pt>
                <c:pt idx="7">
                  <c:v>0.21666666666666667</c:v>
                </c:pt>
                <c:pt idx="8">
                  <c:v>0.22361111111111112</c:v>
                </c:pt>
                <c:pt idx="9">
                  <c:v>0.25416666666666665</c:v>
                </c:pt>
                <c:pt idx="10">
                  <c:v>0.32291666666666669</c:v>
                </c:pt>
                <c:pt idx="11">
                  <c:v>0.21944444444444444</c:v>
                </c:pt>
                <c:pt idx="12">
                  <c:v>0.21319444444444444</c:v>
                </c:pt>
                <c:pt idx="13">
                  <c:v>0.30416666666666664</c:v>
                </c:pt>
                <c:pt idx="14">
                  <c:v>0.22638888888888889</c:v>
                </c:pt>
                <c:pt idx="15">
                  <c:v>0.22013888888888888</c:v>
                </c:pt>
                <c:pt idx="16">
                  <c:v>0.24444444444444444</c:v>
                </c:pt>
                <c:pt idx="17">
                  <c:v>0.23958333333333334</c:v>
                </c:pt>
                <c:pt idx="18">
                  <c:v>0.24930555555555556</c:v>
                </c:pt>
                <c:pt idx="19">
                  <c:v>0.24861111111111112</c:v>
                </c:pt>
                <c:pt idx="20">
                  <c:v>0.2326388888888889</c:v>
                </c:pt>
                <c:pt idx="21">
                  <c:v>0.36458333333333331</c:v>
                </c:pt>
                <c:pt idx="22">
                  <c:v>0.22500000000000001</c:v>
                </c:pt>
                <c:pt idx="23">
                  <c:v>0.33611111111111114</c:v>
                </c:pt>
                <c:pt idx="24">
                  <c:v>0.21041666666666667</c:v>
                </c:pt>
                <c:pt idx="25">
                  <c:v>0.1701388888888889</c:v>
                </c:pt>
                <c:pt idx="26">
                  <c:v>0.21180555555555555</c:v>
                </c:pt>
                <c:pt idx="27">
                  <c:v>0.21458333333333332</c:v>
                </c:pt>
                <c:pt idx="28">
                  <c:v>0.22083333333333333</c:v>
                </c:pt>
                <c:pt idx="29">
                  <c:v>0.21944444444444444</c:v>
                </c:pt>
                <c:pt idx="30">
                  <c:v>0.21458333333333332</c:v>
                </c:pt>
                <c:pt idx="31">
                  <c:v>0.23958333333333334</c:v>
                </c:pt>
                <c:pt idx="32">
                  <c:v>0.24166666666666667</c:v>
                </c:pt>
                <c:pt idx="33">
                  <c:v>0.23472222222222222</c:v>
                </c:pt>
                <c:pt idx="34">
                  <c:v>0.25624999999999998</c:v>
                </c:pt>
                <c:pt idx="35">
                  <c:v>0.38680555555555557</c:v>
                </c:pt>
                <c:pt idx="36">
                  <c:v>0.22847222222222222</c:v>
                </c:pt>
                <c:pt idx="37">
                  <c:v>0.23333333333333334</c:v>
                </c:pt>
                <c:pt idx="38">
                  <c:v>0.21041666666666667</c:v>
                </c:pt>
                <c:pt idx="39">
                  <c:v>0.24374999999999999</c:v>
                </c:pt>
                <c:pt idx="40">
                  <c:v>0.24305555555555555</c:v>
                </c:pt>
                <c:pt idx="41">
                  <c:v>0.24861111111111112</c:v>
                </c:pt>
                <c:pt idx="42">
                  <c:v>0.24374999999999999</c:v>
                </c:pt>
                <c:pt idx="43">
                  <c:v>0.22013888888888888</c:v>
                </c:pt>
                <c:pt idx="44">
                  <c:v>0.34791666666666665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CE-42AF-BE46-BA52D677E6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03734943"/>
        <c:axId val="1803728703"/>
      </c:lineChart>
      <c:catAx>
        <c:axId val="1803734943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03728703"/>
        <c:crosses val="autoZero"/>
        <c:auto val="1"/>
        <c:lblAlgn val="ctr"/>
        <c:lblOffset val="100"/>
        <c:noMultiLvlLbl val="0"/>
      </c:catAx>
      <c:valAx>
        <c:axId val="1803728703"/>
        <c:scaling>
          <c:orientation val="minMax"/>
        </c:scaling>
        <c:delete val="1"/>
        <c:axPos val="l"/>
        <c:numFmt formatCode="[$-409]h:mm\ AM/PM;@" sourceLinked="0"/>
        <c:majorTickMark val="out"/>
        <c:minorTickMark val="none"/>
        <c:tickLblPos val="nextTo"/>
        <c:crossAx val="180373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57150</xdr:rowOff>
    </xdr:from>
    <xdr:to>
      <xdr:col>13</xdr:col>
      <xdr:colOff>101600</xdr:colOff>
      <xdr:row>11</xdr:row>
      <xdr:rowOff>101600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5135B41F-D0C7-42EA-A430-F0410F7E5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0.01689</cdr:x>
      <cdr:y>0.38938</cdr:y>
    </cdr:from>
    <cdr:to>
      <cdr:x>0.07248</cdr:x>
      <cdr:y>0.52</cdr:y>
    </cdr:to>
    <cdr:sp macro="" textlink="">
      <cdr:nvSpPr>
        <cdr:cNvPr id="2" name="Flecha: a la derecha 1">
          <a:hlinkClick xmlns:a="http://schemas.openxmlformats.org/drawingml/2006/main" xmlns:r="http://schemas.openxmlformats.org/officeDocument/2006/relationships" r:id="rId1"/>
          <a:extLst xmlns:a="http://schemas.openxmlformats.org/drawingml/2006/main">
            <a:ext uri="{FF2B5EF4-FFF2-40B4-BE49-F238E27FC236}">
              <a16:creationId xmlns:a16="http://schemas.microsoft.com/office/drawing/2014/main" id="{E14F6164-1700-3EED-E0EE-676663E47386}"/>
            </a:ext>
          </a:extLst>
        </cdr:cNvPr>
        <cdr:cNvSpPr/>
      </cdr:nvSpPr>
      <cdr:spPr>
        <a:xfrm xmlns:a="http://schemas.openxmlformats.org/drawingml/2006/main" rot="10800000">
          <a:off x="196850" y="1117594"/>
          <a:ext cx="647700" cy="374906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gustin rivera" id="{EF9F8505-981A-4791-B59C-E573C6E0F527}" userId="77bda7ebbe02dad6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09FA1-415F-4F4E-BBDD-8C7F0E96A07F}" name="Tabla4" displayName="Tabla4" ref="A3:O104" totalsRowShown="0" headerRowDxfId="23" dataDxfId="21" headerRowBorderDxfId="22" tableBorderDxfId="20">
  <autoFilter ref="A3:O104" xr:uid="{43209FA1-415F-4F4E-BBDD-8C7F0E96A07F}">
    <filterColumn colId="3">
      <filters>
        <dateGroupItem year="2026" month="3" dateTimeGrouping="month"/>
      </filters>
    </filterColumn>
    <filterColumn colId="11">
      <filters>
        <filter val="Completed"/>
      </filters>
    </filterColumn>
  </autoFilter>
  <tableColumns count="15">
    <tableColumn id="1" xr3:uid="{11E51EE7-3213-4C38-AD37-64D8987C6793}" name="Devices" dataDxfId="19"/>
    <tableColumn id="2" xr3:uid="{09D05687-56F5-4450-88DB-A084DE2ADD06}" name="Serial" dataDxfId="18"/>
    <tableColumn id="3" xr3:uid="{F0943D61-000C-47A8-895C-417E422263A2}" name="Reference" dataDxfId="17"/>
    <tableColumn id="4" xr3:uid="{43DF185B-8991-44EA-9304-873231361F03}" name="Planned Date" dataDxfId="16"/>
    <tableColumn id="5" xr3:uid="{35EC44C8-1B85-4372-A502-033916694674}" name="Planned Time" dataDxfId="15"/>
    <tableColumn id="12" xr3:uid="{5FDD2A87-302C-456F-8044-D228AB206F00}" name="Arrival time" dataDxfId="14"/>
    <tableColumn id="9" xr3:uid="{3B09D3D6-B4D7-4744-8BE4-A87E81E164F2}" name="Real Start time" dataDxfId="13"/>
    <tableColumn id="10" xr3:uid="{1B5B7755-038F-40A1-90F7-5761D2A82BA9}" name="End time" dataDxfId="12"/>
    <tableColumn id="11" xr3:uid="{CDAC711D-6AF6-451B-A4C9-EAC4AD9B3792}" name="Duration" dataDxfId="11"/>
    <tableColumn id="17" xr3:uid="{86A9BA01-9109-40C1-A52D-D30DCB232D62}" name="Early arrive" dataDxfId="10">
      <calculatedColumnFormula>Tabla4[[#This Row],[Planned Time]]-Tabla4[[#This Row],[Arrival time]]</calculatedColumnFormula>
    </tableColumn>
    <tableColumn id="19" xr3:uid="{63CA0774-9DA7-4817-80BB-1876E3316A7B}" name="Previous date" dataDxfId="9"/>
    <tableColumn id="13" xr3:uid="{63A02929-A693-4874-8FF1-86E661D14BB3}" name="Status" dataDxfId="8"/>
    <tableColumn id="14" xr3:uid="{4312053F-C166-475F-BBC7-E7A9884AF6F6}" name="Address" dataDxfId="7"/>
    <tableColumn id="15" xr3:uid="{EFC58DB7-542E-4BEB-AC13-D941419B006C}" name="Loc. Code" dataDxfId="6"/>
    <tableColumn id="16" xr3:uid="{E16F72C4-4ACF-479D-A50D-F7758F38A508}" name="Not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C9102-55DC-4239-AB29-D12448056D4A}" name="Tabla1" displayName="Tabla1" ref="A1:D88" totalsRowShown="0" headerRowBorderDxfId="4">
  <autoFilter ref="A1:D88" xr:uid="{BAEC9102-55DC-4239-AB29-D12448056D4A}"/>
  <tableColumns count="4">
    <tableColumn id="1" xr3:uid="{7DE9B223-0922-460B-9281-4C47890AC36E}" name="Initial Date" dataDxfId="3"/>
    <tableColumn id="2" xr3:uid="{1159C115-1B4C-481F-89AC-E56A2706F44E}" name="Initial Time" dataDxfId="2"/>
    <tableColumn id="3" xr3:uid="{0898E234-C252-440B-BAB7-ACCBF55D27A2}" name="Arrival time" dataDxfId="1"/>
    <tableColumn id="4" xr3:uid="{02ED0E32-6E76-4585-ABC0-CDD4EE084CD3}" name="Start 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64" dT="2026-04-25T12:44:17.52" personId="{EF9F8505-981A-4791-B59C-E573C6E0F527}" id="{92B62669-2E78-43AA-83AF-C1D4AED4551E}">
    <text>Was omitted by Claro, and included after the notification.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BB89-7239-4C95-9A8A-FE31A707713A}">
  <dimension ref="A1:Q25"/>
  <sheetViews>
    <sheetView zoomScaleNormal="100" workbookViewId="0">
      <selection activeCell="H2" sqref="H2"/>
    </sheetView>
  </sheetViews>
  <sheetFormatPr defaultColWidth="10.90625" defaultRowHeight="14.5"/>
  <cols>
    <col min="1" max="1" width="1.36328125" style="39" customWidth="1"/>
    <col min="2" max="2" width="21.1796875" style="39" customWidth="1"/>
    <col min="3" max="3" width="19.453125" style="39" customWidth="1"/>
    <col min="4" max="4" width="1.36328125" style="39" customWidth="1"/>
    <col min="5" max="5" width="20.26953125" style="39" customWidth="1"/>
    <col min="6" max="6" width="17.90625" style="39" customWidth="1"/>
    <col min="7" max="7" width="1.1796875" style="39" customWidth="1"/>
    <col min="8" max="8" width="18.54296875" style="39" customWidth="1"/>
    <col min="9" max="9" width="22.81640625" style="39" customWidth="1"/>
    <col min="10" max="10" width="1.26953125" style="39" customWidth="1"/>
    <col min="11" max="11" width="18" style="39" customWidth="1"/>
    <col min="12" max="12" width="22.54296875" style="39" customWidth="1"/>
    <col min="13" max="13" width="1.6328125" style="39" customWidth="1"/>
    <col min="14" max="16" width="10.90625" style="39"/>
    <col min="17" max="17" width="11.90625" style="39" bestFit="1" customWidth="1"/>
    <col min="18" max="16384" width="10.90625" style="39"/>
  </cols>
  <sheetData>
    <row r="1" spans="1:17" ht="6.5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7" ht="52.5" customHeight="1">
      <c r="A2" s="41"/>
      <c r="B2" s="110" t="e" vm="1">
        <v>#VALUE!</v>
      </c>
      <c r="C2" s="119" t="s">
        <v>163</v>
      </c>
      <c r="D2" s="41"/>
      <c r="E2" s="118" t="s">
        <v>201</v>
      </c>
      <c r="F2" s="117">
        <f>AVERAGE(Control!E5:E160)-AVERAGE(Control!F5:F160)</f>
        <v>1.6854354354355061E-3</v>
      </c>
      <c r="G2" s="41"/>
      <c r="I2" s="96"/>
      <c r="J2" s="94"/>
      <c r="K2" s="106" t="s">
        <v>238</v>
      </c>
      <c r="L2" s="108">
        <f>COUNTIF(Control!L5:L97, "*completed*")</f>
        <v>70</v>
      </c>
      <c r="M2" s="41"/>
    </row>
    <row r="3" spans="1:17" ht="52" customHeight="1">
      <c r="A3" s="41"/>
      <c r="B3" s="110"/>
      <c r="C3" s="119"/>
      <c r="D3" s="41"/>
      <c r="E3" s="118"/>
      <c r="F3" s="117"/>
      <c r="G3" s="41"/>
      <c r="H3" s="97"/>
      <c r="I3" s="98"/>
      <c r="J3" s="95"/>
      <c r="K3" s="107"/>
      <c r="L3" s="109"/>
      <c r="M3" s="41"/>
    </row>
    <row r="4" spans="1:17" ht="113.5" hidden="1" customHeight="1">
      <c r="A4" s="41"/>
      <c r="B4" s="110"/>
      <c r="C4" s="119"/>
      <c r="D4" s="52"/>
      <c r="E4" s="71" t="s">
        <v>160</v>
      </c>
      <c r="F4" s="72">
        <f>AVERAGE(Control!F3:F95)</f>
        <v>0.22888888888888886</v>
      </c>
      <c r="G4" s="52"/>
      <c r="H4" s="69" t="s">
        <v>159</v>
      </c>
      <c r="I4" s="70">
        <f>Control!D5</f>
        <v>44490</v>
      </c>
      <c r="J4" s="52"/>
      <c r="K4" s="67" t="s">
        <v>155</v>
      </c>
      <c r="L4" s="68">
        <f>COUNTIF(Control!L5:L97,"completed")</f>
        <v>70</v>
      </c>
      <c r="M4" s="41"/>
      <c r="Q4" s="46"/>
    </row>
    <row r="5" spans="1:17" ht="5.5" customHeight="1">
      <c r="A5" s="41"/>
      <c r="B5" s="53"/>
      <c r="C5" s="54"/>
      <c r="D5" s="52"/>
      <c r="E5" s="54"/>
      <c r="F5" s="54"/>
      <c r="G5" s="52"/>
      <c r="H5" s="54"/>
      <c r="I5" s="54"/>
      <c r="J5" s="52"/>
      <c r="K5" s="54"/>
      <c r="L5" s="54"/>
      <c r="M5" s="41"/>
    </row>
    <row r="6" spans="1:17" ht="48.5" customHeight="1">
      <c r="A6" s="41"/>
      <c r="B6" s="111" t="s">
        <v>164</v>
      </c>
      <c r="C6" s="112">
        <f>Control!I4</f>
        <v>5.5277777777777795</v>
      </c>
      <c r="D6" s="52"/>
      <c r="E6" s="113" t="s">
        <v>204</v>
      </c>
      <c r="F6" s="114">
        <f>AVERAGE(Control!F5:F97)-AVERAGE(Control!G5:G97)</f>
        <v>-1.1222222222222272E-2</v>
      </c>
      <c r="G6" s="52"/>
      <c r="H6" s="115" t="s">
        <v>157</v>
      </c>
      <c r="I6" s="116" cm="1">
        <f t="array" ref="I6">LOOKUP(2, 1/((Control!D5:D97&lt;&gt;"")*(Control!L5:L97="completed")), Control!D5:D97)</f>
        <v>44672</v>
      </c>
      <c r="J6" s="52"/>
      <c r="K6" s="64" t="s">
        <v>199</v>
      </c>
      <c r="L6" s="63">
        <f>COUNTIF(Control!L5:L97, "*planned*")</f>
        <v>0</v>
      </c>
      <c r="M6" s="41"/>
    </row>
    <row r="7" spans="1:17" ht="56" customHeight="1">
      <c r="A7" s="41"/>
      <c r="B7" s="111"/>
      <c r="C7" s="112"/>
      <c r="D7" s="52"/>
      <c r="E7" s="113"/>
      <c r="F7" s="114"/>
      <c r="G7" s="52"/>
      <c r="H7" s="115"/>
      <c r="I7" s="116"/>
      <c r="J7" s="52"/>
      <c r="K7" s="65" t="s">
        <v>239</v>
      </c>
      <c r="L7" s="66">
        <v>90</v>
      </c>
      <c r="M7" s="41"/>
    </row>
    <row r="8" spans="1:17" ht="5.5" customHeight="1">
      <c r="A8" s="4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41"/>
    </row>
    <row r="9" spans="1:17" ht="106.5" customHeight="1">
      <c r="A9" s="41"/>
      <c r="B9" s="55" t="s">
        <v>165</v>
      </c>
      <c r="C9" s="56">
        <f>AVERAGE(Control!I5:I97)</f>
        <v>0.11055555555555559</v>
      </c>
      <c r="D9" s="52"/>
      <c r="E9" s="57" t="s">
        <v>198</v>
      </c>
      <c r="F9" s="58">
        <f>F2-F6</f>
        <v>1.2907657657657778E-2</v>
      </c>
      <c r="G9" s="52"/>
      <c r="H9" s="59" t="s">
        <v>158</v>
      </c>
      <c r="I9" s="60">
        <f ca="1">IF(ISBLANK(Control!D5),"", TODAY()-Control!D5)</f>
        <v>190</v>
      </c>
      <c r="J9" s="52"/>
      <c r="K9" s="61" t="s">
        <v>156</v>
      </c>
      <c r="L9" s="62">
        <f>L2/Dashboard!L7</f>
        <v>0.77777777777777779</v>
      </c>
      <c r="M9" s="41"/>
    </row>
    <row r="10" spans="1:17" ht="5.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1:17" ht="91" customHeight="1">
      <c r="A11" s="40"/>
    </row>
    <row r="12" spans="1:17" ht="43" customHeight="1"/>
    <row r="13" spans="1:17" ht="43" customHeight="1"/>
    <row r="14" spans="1:17" ht="43" customHeight="1"/>
    <row r="15" spans="1:17" ht="43" customHeight="1"/>
    <row r="16" spans="1:17" ht="43" customHeight="1"/>
    <row r="17" ht="43" customHeight="1"/>
    <row r="18" ht="43" customHeight="1"/>
    <row r="19" ht="43" customHeight="1"/>
    <row r="20" ht="43" customHeight="1"/>
    <row r="21" ht="43" customHeight="1"/>
    <row r="22" ht="43" customHeight="1"/>
    <row r="23" ht="43" customHeight="1"/>
    <row r="24" ht="43" customHeight="1"/>
    <row r="25" ht="43" customHeight="1"/>
  </sheetData>
  <sheetProtection formatCells="0" formatColumns="0" formatRows="0" insertColumns="0" insertRows="0" insertHyperlinks="0" deleteColumns="0" deleteRows="0" sort="0" autoFilter="0" pivotTables="0"/>
  <mergeCells count="12">
    <mergeCell ref="K2:K3"/>
    <mergeCell ref="L2:L3"/>
    <mergeCell ref="B2:B4"/>
    <mergeCell ref="B6:B7"/>
    <mergeCell ref="C6:C7"/>
    <mergeCell ref="E6:E7"/>
    <mergeCell ref="F6:F7"/>
    <mergeCell ref="H6:H7"/>
    <mergeCell ref="I6:I7"/>
    <mergeCell ref="F2:F3"/>
    <mergeCell ref="E2:E3"/>
    <mergeCell ref="C2:C4"/>
  </mergeCells>
  <hyperlinks>
    <hyperlink ref="C2" location="'Schedule supervision'!A1" display="Schedule supervision" xr:uid="{4B7A40E5-236E-41D5-A54F-A7CC265021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4"/>
  <sheetViews>
    <sheetView tabSelected="1" zoomScale="70" zoomScaleNormal="70" workbookViewId="0">
      <selection activeCell="D48" sqref="D48:D65"/>
    </sheetView>
  </sheetViews>
  <sheetFormatPr defaultColWidth="8.7265625" defaultRowHeight="14.5"/>
  <cols>
    <col min="1" max="1" width="11.54296875" style="1" customWidth="1"/>
    <col min="2" max="2" width="18" style="1" bestFit="1" customWidth="1"/>
    <col min="3" max="3" width="11.26953125" style="1" customWidth="1"/>
    <col min="4" max="4" width="27.7265625" style="1" bestFit="1" customWidth="1"/>
    <col min="5" max="5" width="15.26953125" style="1" bestFit="1" customWidth="1"/>
    <col min="6" max="6" width="14.90625" style="17" bestFit="1" customWidth="1"/>
    <col min="7" max="7" width="11.81640625" style="4" bestFit="1" customWidth="1"/>
    <col min="8" max="8" width="11.26953125" style="1" bestFit="1" customWidth="1"/>
    <col min="9" max="9" width="11.08984375" style="1" bestFit="1" customWidth="1"/>
    <col min="10" max="10" width="13.08984375" style="1" bestFit="1" customWidth="1"/>
    <col min="11" max="11" width="20.08984375" style="1" bestFit="1" customWidth="1"/>
    <col min="12" max="12" width="9.90625" style="1" bestFit="1" customWidth="1"/>
    <col min="13" max="13" width="40.6328125" style="1" customWidth="1"/>
    <col min="14" max="14" width="12.26953125" style="10" customWidth="1"/>
    <col min="15" max="15" width="46" style="1" bestFit="1" customWidth="1"/>
    <col min="16" max="16" width="8.7265625" style="1"/>
    <col min="17" max="17" width="9.90625" style="1" bestFit="1" customWidth="1"/>
    <col min="18" max="16384" width="8.7265625" style="1"/>
  </cols>
  <sheetData>
    <row r="1" spans="1:20" ht="14.5" customHeight="1">
      <c r="A1" s="36" t="s">
        <v>22</v>
      </c>
      <c r="B1" s="37"/>
      <c r="C1" s="37"/>
      <c r="D1" s="37"/>
      <c r="E1" s="37"/>
      <c r="F1" s="43"/>
      <c r="G1" s="37"/>
      <c r="H1" s="37"/>
      <c r="I1" s="37"/>
      <c r="J1" s="37"/>
      <c r="K1" s="37"/>
      <c r="L1" s="37"/>
      <c r="M1" s="37"/>
      <c r="N1" s="37"/>
      <c r="O1" s="37"/>
    </row>
    <row r="2" spans="1:20" s="17" customFormat="1">
      <c r="A2" s="120" t="s">
        <v>5</v>
      </c>
      <c r="B2" s="121"/>
      <c r="C2" s="122"/>
      <c r="D2" s="34" t="s">
        <v>26</v>
      </c>
      <c r="E2" s="35"/>
      <c r="F2" s="29"/>
      <c r="G2" s="123" t="s">
        <v>27</v>
      </c>
      <c r="H2" s="124"/>
      <c r="I2" s="124"/>
      <c r="J2" s="124"/>
      <c r="K2" s="124"/>
      <c r="L2" s="125"/>
      <c r="M2" s="120" t="s">
        <v>28</v>
      </c>
      <c r="N2" s="122"/>
      <c r="O2" s="16" t="s">
        <v>29</v>
      </c>
    </row>
    <row r="3" spans="1:20" ht="29">
      <c r="A3" s="19" t="s">
        <v>5</v>
      </c>
      <c r="B3" s="19" t="s">
        <v>11</v>
      </c>
      <c r="C3" s="19" t="s">
        <v>131</v>
      </c>
      <c r="D3" s="19" t="s">
        <v>203</v>
      </c>
      <c r="E3" s="19" t="s">
        <v>200</v>
      </c>
      <c r="F3" s="86" t="s">
        <v>160</v>
      </c>
      <c r="G3" s="86" t="s">
        <v>202</v>
      </c>
      <c r="H3" s="86" t="s">
        <v>14</v>
      </c>
      <c r="I3" s="86" t="s">
        <v>12</v>
      </c>
      <c r="J3" s="86" t="s">
        <v>162</v>
      </c>
      <c r="K3" s="19" t="s">
        <v>311</v>
      </c>
      <c r="L3" s="19" t="s">
        <v>15</v>
      </c>
      <c r="M3" s="19" t="s">
        <v>4</v>
      </c>
      <c r="N3" s="21" t="s">
        <v>25</v>
      </c>
      <c r="O3" s="21" t="s">
        <v>61</v>
      </c>
    </row>
    <row r="4" spans="1:20" s="3" customFormat="1" ht="17.5" hidden="1">
      <c r="A4" s="6"/>
      <c r="B4" s="6"/>
      <c r="C4" s="6"/>
      <c r="D4" s="6"/>
      <c r="E4" s="73">
        <f>AVERAGE(E5:E97)</f>
        <v>0.23057432432432437</v>
      </c>
      <c r="F4" s="87">
        <f>AVERAGE(F5:F97)</f>
        <v>0.22888888888888886</v>
      </c>
      <c r="G4" s="87">
        <f>AVERAGE(G5:G97)</f>
        <v>0.24011111111111114</v>
      </c>
      <c r="H4" s="88"/>
      <c r="I4" s="89">
        <f>SUM(I5:I95)</f>
        <v>5.5277777777777795</v>
      </c>
      <c r="J4" s="89">
        <f>AVERAGE(J5:J97)</f>
        <v>-1.3888888888888887E-3</v>
      </c>
      <c r="K4" s="30"/>
      <c r="L4" s="6"/>
      <c r="M4" s="6"/>
      <c r="N4" s="14"/>
      <c r="O4" s="15"/>
      <c r="P4" s="2"/>
      <c r="Q4" s="48"/>
      <c r="R4" s="2"/>
      <c r="S4" s="2"/>
      <c r="T4" s="51" t="s">
        <v>161</v>
      </c>
    </row>
    <row r="5" spans="1:20" s="3" customFormat="1" hidden="1">
      <c r="A5" s="22" t="s">
        <v>6</v>
      </c>
      <c r="B5" s="22" t="s">
        <v>7</v>
      </c>
      <c r="C5" s="22" t="s">
        <v>17</v>
      </c>
      <c r="D5" s="22">
        <v>44490</v>
      </c>
      <c r="E5" s="74">
        <v>0.33333333333333331</v>
      </c>
      <c r="F5" s="90">
        <v>0.35138888888888886</v>
      </c>
      <c r="G5" s="90">
        <v>0.35208333333333336</v>
      </c>
      <c r="H5" s="90">
        <v>0.63124999999999998</v>
      </c>
      <c r="I5" s="90">
        <f>H5-G5</f>
        <v>0.27916666666666662</v>
      </c>
      <c r="J5" s="90">
        <f>Tabla4[[#This Row],[Planned Time]]-Tabla4[[#This Row],[Arrival time]]</f>
        <v>-1.8055555555555547E-2</v>
      </c>
      <c r="K5" s="31"/>
      <c r="L5" s="23" t="s">
        <v>16</v>
      </c>
      <c r="M5" s="23" t="s">
        <v>3</v>
      </c>
      <c r="N5" s="84">
        <v>0</v>
      </c>
      <c r="O5" s="27" t="s">
        <v>30</v>
      </c>
      <c r="P5" s="2"/>
      <c r="Q5" s="48"/>
      <c r="R5" s="47"/>
      <c r="S5" s="47"/>
    </row>
    <row r="6" spans="1:20" s="3" customFormat="1" hidden="1">
      <c r="A6" s="22" t="s">
        <v>9</v>
      </c>
      <c r="B6" s="22" t="s">
        <v>8</v>
      </c>
      <c r="C6" s="22" t="s">
        <v>18</v>
      </c>
      <c r="D6" s="22">
        <v>44495</v>
      </c>
      <c r="E6" s="49">
        <v>4.1666666666666664E-2</v>
      </c>
      <c r="F6" s="90">
        <v>2.9861111111111113E-2</v>
      </c>
      <c r="G6" s="90">
        <v>3.125E-2</v>
      </c>
      <c r="H6" s="90">
        <v>0.16319444444444445</v>
      </c>
      <c r="I6" s="90">
        <f>H6-G6</f>
        <v>0.13194444444444445</v>
      </c>
      <c r="J6" s="90">
        <f>Tabla4[[#This Row],[Planned Time]]-Tabla4[[#This Row],[Arrival time]]</f>
        <v>1.1805555555555552E-2</v>
      </c>
      <c r="K6" s="31"/>
      <c r="L6" s="23" t="s">
        <v>16</v>
      </c>
      <c r="M6" s="23" t="s">
        <v>1</v>
      </c>
      <c r="N6" s="84">
        <v>100</v>
      </c>
      <c r="O6" s="27" t="s">
        <v>60</v>
      </c>
      <c r="P6" s="2"/>
      <c r="Q6" s="48"/>
      <c r="R6" s="47"/>
      <c r="S6" s="47"/>
    </row>
    <row r="7" spans="1:20" s="3" customFormat="1" hidden="1">
      <c r="A7" s="7" t="s">
        <v>9</v>
      </c>
      <c r="B7" s="7" t="s">
        <v>10</v>
      </c>
      <c r="C7" s="7" t="s">
        <v>18</v>
      </c>
      <c r="D7" s="7">
        <v>44496</v>
      </c>
      <c r="E7" s="50">
        <v>0.20833333333333334</v>
      </c>
      <c r="F7" s="91">
        <v>0.2048611111111111</v>
      </c>
      <c r="G7" s="91">
        <v>0.20694444444444443</v>
      </c>
      <c r="H7" s="91">
        <v>0.40277777777777779</v>
      </c>
      <c r="I7" s="91">
        <f>H7-G7</f>
        <v>0.19583333333333336</v>
      </c>
      <c r="J7" s="91">
        <f>Tabla4[[#This Row],[Planned Time]]-Tabla4[[#This Row],[Arrival time]]</f>
        <v>3.4722222222222376E-3</v>
      </c>
      <c r="K7" s="32"/>
      <c r="L7" s="8" t="s">
        <v>16</v>
      </c>
      <c r="M7" s="8" t="s">
        <v>0</v>
      </c>
      <c r="N7" s="85" t="s">
        <v>2</v>
      </c>
      <c r="O7" s="9" t="s">
        <v>30</v>
      </c>
      <c r="P7" s="2"/>
      <c r="Q7" s="48"/>
      <c r="R7" s="47"/>
      <c r="S7" s="47"/>
    </row>
    <row r="8" spans="1:20" hidden="1">
      <c r="A8" s="7" t="s">
        <v>9</v>
      </c>
      <c r="B8" s="7" t="s">
        <v>19</v>
      </c>
      <c r="C8" s="7" t="s">
        <v>18</v>
      </c>
      <c r="D8" s="7">
        <v>44500</v>
      </c>
      <c r="E8" s="50">
        <v>0.20833333333333334</v>
      </c>
      <c r="F8" s="91"/>
      <c r="G8" s="92"/>
      <c r="H8" s="92"/>
      <c r="I8" s="93"/>
      <c r="J8" s="92"/>
      <c r="K8" s="45"/>
      <c r="L8" s="2" t="s">
        <v>31</v>
      </c>
      <c r="M8" s="12" t="s">
        <v>21</v>
      </c>
      <c r="N8" s="11" t="s">
        <v>20</v>
      </c>
      <c r="O8" s="2" t="s">
        <v>32</v>
      </c>
      <c r="P8" s="5"/>
      <c r="Q8" s="48"/>
      <c r="R8" s="47"/>
      <c r="S8" s="47"/>
    </row>
    <row r="9" spans="1:20" hidden="1">
      <c r="A9" s="22" t="s">
        <v>46</v>
      </c>
      <c r="B9" s="22" t="s">
        <v>41</v>
      </c>
      <c r="C9" s="22" t="s">
        <v>17</v>
      </c>
      <c r="D9" s="22" t="s">
        <v>207</v>
      </c>
      <c r="E9" s="24">
        <v>0.29166666666666669</v>
      </c>
      <c r="F9" s="90">
        <v>0.28472222222222221</v>
      </c>
      <c r="G9" s="90">
        <v>0.29166666666666669</v>
      </c>
      <c r="H9" s="90">
        <v>0.39374999999999999</v>
      </c>
      <c r="I9" s="90">
        <f>H9-G9</f>
        <v>0.1020833333333333</v>
      </c>
      <c r="J9" s="90">
        <f>Tabla4[[#This Row],[Planned Time]]-Tabla4[[#This Row],[Arrival time]]</f>
        <v>6.9444444444444753E-3</v>
      </c>
      <c r="K9" s="31"/>
      <c r="L9" s="25" t="s">
        <v>16</v>
      </c>
      <c r="M9" s="26" t="s">
        <v>42</v>
      </c>
      <c r="N9" s="80" t="s">
        <v>33</v>
      </c>
      <c r="O9" s="27" t="s">
        <v>30</v>
      </c>
      <c r="P9" s="5"/>
      <c r="Q9" s="48"/>
      <c r="R9" s="47"/>
      <c r="S9" s="47"/>
    </row>
    <row r="10" spans="1:20" hidden="1">
      <c r="A10" s="22" t="s">
        <v>9</v>
      </c>
      <c r="B10" s="22" t="s">
        <v>43</v>
      </c>
      <c r="C10" s="22" t="s">
        <v>18</v>
      </c>
      <c r="D10" s="22" t="s">
        <v>208</v>
      </c>
      <c r="E10" s="24">
        <v>0.16666666666666666</v>
      </c>
      <c r="F10" s="90">
        <v>0.18402777777777779</v>
      </c>
      <c r="G10" s="90">
        <v>0.18541666666666667</v>
      </c>
      <c r="H10" s="90">
        <v>0.35902777777777778</v>
      </c>
      <c r="I10" s="90">
        <f>H10-G10</f>
        <v>0.1736111111111111</v>
      </c>
      <c r="J10" s="90">
        <f>Tabla4[[#This Row],[Planned Time]]-Tabla4[[#This Row],[Arrival time]]</f>
        <v>-1.7361111111111133E-2</v>
      </c>
      <c r="K10" s="31"/>
      <c r="L10" s="25" t="s">
        <v>16</v>
      </c>
      <c r="M10" s="26" t="s">
        <v>48</v>
      </c>
      <c r="N10" s="80" t="s">
        <v>34</v>
      </c>
      <c r="O10" s="25" t="s">
        <v>30</v>
      </c>
      <c r="P10" s="5"/>
      <c r="Q10" s="48"/>
      <c r="R10" s="47"/>
      <c r="S10" s="47"/>
    </row>
    <row r="11" spans="1:20" hidden="1">
      <c r="A11" s="22" t="s">
        <v>44</v>
      </c>
      <c r="B11" s="22" t="s">
        <v>45</v>
      </c>
      <c r="C11" s="22" t="s">
        <v>17</v>
      </c>
      <c r="D11" s="22" t="s">
        <v>209</v>
      </c>
      <c r="E11" s="24">
        <v>0.16666666666666666</v>
      </c>
      <c r="F11" s="90">
        <v>0.17569444444444443</v>
      </c>
      <c r="G11" s="90">
        <v>0.17569444444444443</v>
      </c>
      <c r="H11" s="90">
        <v>0.3659722222222222</v>
      </c>
      <c r="I11" s="90">
        <f>H11-G11</f>
        <v>0.19027777777777777</v>
      </c>
      <c r="J11" s="90">
        <f>Tabla4[[#This Row],[Planned Time]]-Tabla4[[#This Row],[Arrival time]]</f>
        <v>-9.0277777777777735E-3</v>
      </c>
      <c r="K11" s="31"/>
      <c r="L11" s="25" t="s">
        <v>16</v>
      </c>
      <c r="M11" s="26" t="s">
        <v>49</v>
      </c>
      <c r="N11" s="80" t="s">
        <v>132</v>
      </c>
      <c r="O11" s="5" t="s">
        <v>30</v>
      </c>
      <c r="P11" s="5"/>
      <c r="Q11" s="48"/>
      <c r="R11" s="47"/>
      <c r="S11" s="47"/>
    </row>
    <row r="12" spans="1:20" hidden="1">
      <c r="A12" s="22" t="s">
        <v>46</v>
      </c>
      <c r="B12" s="22" t="s">
        <v>50</v>
      </c>
      <c r="C12" s="22" t="s">
        <v>17</v>
      </c>
      <c r="D12" s="75" t="s">
        <v>210</v>
      </c>
      <c r="E12" s="18" t="s">
        <v>152</v>
      </c>
      <c r="F12" s="90"/>
      <c r="G12" s="92"/>
      <c r="H12" s="92"/>
      <c r="I12" s="93"/>
      <c r="J12" s="92"/>
      <c r="K12" s="45"/>
      <c r="L12" s="25" t="s">
        <v>16</v>
      </c>
      <c r="M12" s="26" t="s">
        <v>145</v>
      </c>
      <c r="N12" s="80" t="s">
        <v>133</v>
      </c>
      <c r="O12" s="5" t="s">
        <v>30</v>
      </c>
      <c r="P12" s="5"/>
      <c r="Q12" s="48"/>
      <c r="R12" s="47"/>
      <c r="S12" s="47"/>
    </row>
    <row r="13" spans="1:20" hidden="1">
      <c r="A13" s="22" t="s">
        <v>9</v>
      </c>
      <c r="B13" s="22" t="s">
        <v>51</v>
      </c>
      <c r="C13" s="22" t="s">
        <v>18</v>
      </c>
      <c r="D13" s="22" t="s">
        <v>211</v>
      </c>
      <c r="E13" s="24">
        <v>0.16666666666666666</v>
      </c>
      <c r="F13" s="90">
        <v>0.16875000000000001</v>
      </c>
      <c r="G13" s="90">
        <v>0.17291666666666666</v>
      </c>
      <c r="H13" s="90">
        <v>0.3034722222222222</v>
      </c>
      <c r="I13" s="90">
        <f>H13-G13</f>
        <v>0.13055555555555554</v>
      </c>
      <c r="J13" s="90">
        <f>Tabla4[[#This Row],[Planned Time]]-Tabla4[[#This Row],[Arrival time]]</f>
        <v>-2.0833333333333537E-3</v>
      </c>
      <c r="K13" s="31"/>
      <c r="L13" s="25" t="s">
        <v>16</v>
      </c>
      <c r="M13" s="26" t="s">
        <v>52</v>
      </c>
      <c r="N13" s="80" t="s">
        <v>35</v>
      </c>
      <c r="O13" s="25" t="s">
        <v>30</v>
      </c>
      <c r="P13" s="5"/>
      <c r="Q13" s="48"/>
      <c r="R13" s="47"/>
      <c r="S13" s="47"/>
    </row>
    <row r="14" spans="1:20" hidden="1">
      <c r="A14" s="7" t="s">
        <v>9</v>
      </c>
      <c r="B14" s="7" t="s">
        <v>53</v>
      </c>
      <c r="C14" s="7" t="s">
        <v>18</v>
      </c>
      <c r="D14" s="7" t="s">
        <v>212</v>
      </c>
      <c r="E14" s="18">
        <v>0.20833333333333334</v>
      </c>
      <c r="F14" s="91">
        <v>0.20902777777777778</v>
      </c>
      <c r="G14" s="91">
        <v>0.21666666666666667</v>
      </c>
      <c r="H14" s="91">
        <v>0.51041666666666663</v>
      </c>
      <c r="I14" s="91">
        <f>H14-G14</f>
        <v>0.29374999999999996</v>
      </c>
      <c r="J14" s="91">
        <f>Tabla4[[#This Row],[Planned Time]]-Tabla4[[#This Row],[Arrival time]]</f>
        <v>-6.9444444444444198E-4</v>
      </c>
      <c r="K14" s="32"/>
      <c r="L14" s="5" t="s">
        <v>16</v>
      </c>
      <c r="M14" s="13" t="s">
        <v>54</v>
      </c>
      <c r="N14" s="82" t="s">
        <v>112</v>
      </c>
      <c r="O14" s="5" t="s">
        <v>30</v>
      </c>
      <c r="P14" s="5"/>
      <c r="Q14" s="48"/>
      <c r="R14" s="47"/>
      <c r="S14" s="47"/>
    </row>
    <row r="15" spans="1:20" hidden="1">
      <c r="A15" s="7" t="s">
        <v>55</v>
      </c>
      <c r="B15" s="7" t="s">
        <v>56</v>
      </c>
      <c r="C15" s="7" t="s">
        <v>18</v>
      </c>
      <c r="D15" s="76" t="s">
        <v>210</v>
      </c>
      <c r="E15" s="18" t="s">
        <v>152</v>
      </c>
      <c r="F15" s="91"/>
      <c r="G15" s="92"/>
      <c r="H15" s="92"/>
      <c r="I15" s="93"/>
      <c r="J15" s="92"/>
      <c r="K15" s="45"/>
      <c r="L15" s="5" t="s">
        <v>16</v>
      </c>
      <c r="M15" s="13" t="s">
        <v>144</v>
      </c>
      <c r="N15" s="82" t="s">
        <v>111</v>
      </c>
      <c r="O15" s="5" t="s">
        <v>30</v>
      </c>
      <c r="P15" s="5"/>
      <c r="Q15" s="48"/>
      <c r="R15" s="47"/>
      <c r="S15" s="47"/>
    </row>
    <row r="16" spans="1:20" hidden="1">
      <c r="A16" s="7" t="s">
        <v>9</v>
      </c>
      <c r="B16" s="7" t="s">
        <v>57</v>
      </c>
      <c r="C16" s="7" t="s">
        <v>18</v>
      </c>
      <c r="D16" s="7" t="s">
        <v>213</v>
      </c>
      <c r="E16" s="18">
        <v>0.22916666666666666</v>
      </c>
      <c r="F16" s="91">
        <v>0.22152777777777777</v>
      </c>
      <c r="G16" s="91">
        <v>0.22361111111111112</v>
      </c>
      <c r="H16" s="91">
        <v>0.31666666666666665</v>
      </c>
      <c r="I16" s="91">
        <f>H16-G16</f>
        <v>9.305555555555553E-2</v>
      </c>
      <c r="J16" s="91">
        <f>Tabla4[[#This Row],[Planned Time]]-Tabla4[[#This Row],[Arrival time]]</f>
        <v>7.6388888888888895E-3</v>
      </c>
      <c r="K16" s="32"/>
      <c r="L16" s="5" t="s">
        <v>16</v>
      </c>
      <c r="M16" s="13" t="s">
        <v>36</v>
      </c>
      <c r="N16" s="82" t="s">
        <v>37</v>
      </c>
      <c r="O16" s="5" t="s">
        <v>30</v>
      </c>
      <c r="P16" s="5"/>
      <c r="Q16" s="48"/>
      <c r="R16" s="47"/>
      <c r="S16" s="47"/>
    </row>
    <row r="17" spans="1:19" hidden="1">
      <c r="A17" s="7" t="s">
        <v>46</v>
      </c>
      <c r="B17" s="7" t="s">
        <v>58</v>
      </c>
      <c r="C17" s="7" t="s">
        <v>17</v>
      </c>
      <c r="D17" s="7" t="s">
        <v>214</v>
      </c>
      <c r="E17" s="18">
        <v>0.25</v>
      </c>
      <c r="F17" s="91">
        <v>0.24930555555555556</v>
      </c>
      <c r="G17" s="91">
        <v>0.25416666666666665</v>
      </c>
      <c r="H17" s="91">
        <v>0.30763888888888891</v>
      </c>
      <c r="I17" s="91">
        <f>H17-G17</f>
        <v>5.3472222222222254E-2</v>
      </c>
      <c r="J17" s="91">
        <f>Tabla4[[#This Row],[Planned Time]]-Tabla4[[#This Row],[Arrival time]]</f>
        <v>6.9444444444444198E-4</v>
      </c>
      <c r="K17" s="32"/>
      <c r="L17" s="5" t="s">
        <v>16</v>
      </c>
      <c r="M17" s="13" t="s">
        <v>38</v>
      </c>
      <c r="N17" s="82" t="s">
        <v>39</v>
      </c>
      <c r="O17" s="5" t="s">
        <v>30</v>
      </c>
      <c r="P17" s="5"/>
      <c r="Q17" s="48"/>
      <c r="R17" s="47"/>
      <c r="S17" s="47"/>
    </row>
    <row r="18" spans="1:19" hidden="1">
      <c r="A18" s="7" t="s">
        <v>46</v>
      </c>
      <c r="B18" s="7" t="s">
        <v>47</v>
      </c>
      <c r="C18" s="7" t="s">
        <v>17</v>
      </c>
      <c r="D18" s="7" t="s">
        <v>215</v>
      </c>
      <c r="E18" s="18">
        <v>0.33333333333333331</v>
      </c>
      <c r="F18" s="91">
        <v>0.29444444444444445</v>
      </c>
      <c r="G18" s="91">
        <v>0.32291666666666669</v>
      </c>
      <c r="H18" s="91">
        <v>0.41249999999999998</v>
      </c>
      <c r="I18" s="91">
        <f>H18-G18</f>
        <v>8.9583333333333293E-2</v>
      </c>
      <c r="J18" s="91">
        <f>Tabla4[[#This Row],[Planned Time]]-Tabla4[[#This Row],[Arrival time]]</f>
        <v>3.8888888888888862E-2</v>
      </c>
      <c r="K18" s="32"/>
      <c r="L18" s="5" t="s">
        <v>16</v>
      </c>
      <c r="M18" s="13" t="s">
        <v>40</v>
      </c>
      <c r="N18" s="82" t="s">
        <v>109</v>
      </c>
      <c r="O18" s="5" t="s">
        <v>30</v>
      </c>
      <c r="P18" s="5"/>
      <c r="Q18" s="48"/>
      <c r="R18" s="47"/>
      <c r="S18" s="47"/>
    </row>
    <row r="19" spans="1:19" hidden="1">
      <c r="A19" s="7" t="s">
        <v>44</v>
      </c>
      <c r="B19" s="7" t="s">
        <v>59</v>
      </c>
      <c r="C19" s="7" t="s">
        <v>17</v>
      </c>
      <c r="D19" s="76" t="s">
        <v>210</v>
      </c>
      <c r="E19" s="18" t="s">
        <v>152</v>
      </c>
      <c r="F19" s="91"/>
      <c r="G19" s="92"/>
      <c r="H19" s="92"/>
      <c r="I19" s="93"/>
      <c r="J19" s="92"/>
      <c r="K19" s="45"/>
      <c r="L19" s="5" t="s">
        <v>16</v>
      </c>
      <c r="M19" s="13" t="s">
        <v>146</v>
      </c>
      <c r="N19" s="82" t="s">
        <v>110</v>
      </c>
      <c r="O19" s="5" t="s">
        <v>30</v>
      </c>
      <c r="P19" s="5"/>
      <c r="Q19" s="48"/>
      <c r="R19" s="47"/>
      <c r="S19" s="47"/>
    </row>
    <row r="20" spans="1:19" hidden="1">
      <c r="A20" s="22" t="s">
        <v>9</v>
      </c>
      <c r="B20" s="22" t="s">
        <v>67</v>
      </c>
      <c r="C20" s="22" t="s">
        <v>18</v>
      </c>
      <c r="D20" s="22" t="s">
        <v>216</v>
      </c>
      <c r="E20" s="24">
        <v>0.20833333333333334</v>
      </c>
      <c r="F20" s="90">
        <v>0.21249999999999999</v>
      </c>
      <c r="G20" s="90">
        <v>0.21944444444444444</v>
      </c>
      <c r="H20" s="90">
        <v>0.51736111111111116</v>
      </c>
      <c r="I20" s="90">
        <f>H20-G20</f>
        <v>0.29791666666666672</v>
      </c>
      <c r="J20" s="90">
        <f>Tabla4[[#This Row],[Planned Time]]-Tabla4[[#This Row],[Arrival time]]</f>
        <v>-4.1666666666666519E-3</v>
      </c>
      <c r="K20" s="31"/>
      <c r="L20" s="25" t="s">
        <v>16</v>
      </c>
      <c r="M20" s="26" t="s">
        <v>63</v>
      </c>
      <c r="N20" s="80" t="s">
        <v>64</v>
      </c>
      <c r="O20" s="25" t="s">
        <v>62</v>
      </c>
      <c r="Q20" s="48"/>
      <c r="R20" s="47"/>
      <c r="S20" s="47"/>
    </row>
    <row r="21" spans="1:19" hidden="1">
      <c r="A21" s="22" t="s">
        <v>44</v>
      </c>
      <c r="B21" s="22" t="s">
        <v>66</v>
      </c>
      <c r="C21" s="22" t="s">
        <v>17</v>
      </c>
      <c r="D21" s="75" t="s">
        <v>210</v>
      </c>
      <c r="E21" s="18" t="s">
        <v>152</v>
      </c>
      <c r="F21" s="90"/>
      <c r="G21" s="92"/>
      <c r="H21" s="92"/>
      <c r="I21" s="93"/>
      <c r="J21" s="92"/>
      <c r="K21" s="45"/>
      <c r="L21" s="25" t="s">
        <v>16</v>
      </c>
      <c r="M21" s="26" t="s">
        <v>150</v>
      </c>
      <c r="N21" s="80" t="s">
        <v>65</v>
      </c>
      <c r="O21" s="25" t="s">
        <v>30</v>
      </c>
      <c r="Q21" s="48"/>
      <c r="R21" s="47"/>
      <c r="S21" s="47"/>
    </row>
    <row r="22" spans="1:19" hidden="1">
      <c r="A22" s="22" t="s">
        <v>44</v>
      </c>
      <c r="B22" s="22" t="s">
        <v>68</v>
      </c>
      <c r="C22" s="22" t="s">
        <v>17</v>
      </c>
      <c r="D22" s="75" t="s">
        <v>210</v>
      </c>
      <c r="E22" s="18" t="s">
        <v>152</v>
      </c>
      <c r="F22" s="90"/>
      <c r="G22" s="92"/>
      <c r="H22" s="92"/>
      <c r="I22" s="93"/>
      <c r="J22" s="92"/>
      <c r="K22" s="45"/>
      <c r="L22" s="25" t="s">
        <v>16</v>
      </c>
      <c r="M22" s="26" t="s">
        <v>151</v>
      </c>
      <c r="N22" s="80" t="s">
        <v>69</v>
      </c>
      <c r="O22" s="25" t="s">
        <v>30</v>
      </c>
      <c r="Q22" s="48"/>
      <c r="R22" s="47"/>
      <c r="S22" s="47"/>
    </row>
    <row r="23" spans="1:19" hidden="1">
      <c r="A23" s="22" t="s">
        <v>9</v>
      </c>
      <c r="B23" s="22" t="s">
        <v>72</v>
      </c>
      <c r="C23" s="22" t="s">
        <v>18</v>
      </c>
      <c r="D23" s="22" t="s">
        <v>217</v>
      </c>
      <c r="E23" s="24">
        <v>0.20833333333333334</v>
      </c>
      <c r="F23" s="90">
        <v>0.21180555555555555</v>
      </c>
      <c r="G23" s="90">
        <v>0.21319444444444444</v>
      </c>
      <c r="H23" s="90">
        <v>0.60555555555555551</v>
      </c>
      <c r="I23" s="90">
        <f>H23-G23</f>
        <v>0.39236111111111105</v>
      </c>
      <c r="J23" s="90">
        <f>Tabla4[[#This Row],[Planned Time]]-Tabla4[[#This Row],[Arrival time]]</f>
        <v>-3.4722222222222099E-3</v>
      </c>
      <c r="K23" s="31"/>
      <c r="L23" s="25" t="s">
        <v>16</v>
      </c>
      <c r="M23" s="26" t="s">
        <v>70</v>
      </c>
      <c r="N23" s="83" t="s">
        <v>71</v>
      </c>
      <c r="O23" s="25" t="s">
        <v>30</v>
      </c>
      <c r="Q23" s="48"/>
      <c r="R23" s="47"/>
      <c r="S23" s="47"/>
    </row>
    <row r="24" spans="1:19" hidden="1">
      <c r="A24" s="22" t="s">
        <v>55</v>
      </c>
      <c r="B24" s="22" t="s">
        <v>74</v>
      </c>
      <c r="C24" s="22" t="s">
        <v>18</v>
      </c>
      <c r="D24" s="75" t="s">
        <v>210</v>
      </c>
      <c r="E24" s="18" t="s">
        <v>152</v>
      </c>
      <c r="F24" s="90"/>
      <c r="G24" s="92"/>
      <c r="H24" s="92"/>
      <c r="I24" s="93"/>
      <c r="J24" s="92"/>
      <c r="K24" s="45"/>
      <c r="L24" s="25" t="s">
        <v>16</v>
      </c>
      <c r="M24" s="26" t="s">
        <v>139</v>
      </c>
      <c r="N24" s="83" t="s">
        <v>73</v>
      </c>
      <c r="O24" s="25" t="s">
        <v>30</v>
      </c>
      <c r="Q24" s="48"/>
      <c r="R24" s="47"/>
      <c r="S24" s="47"/>
    </row>
    <row r="25" spans="1:19" hidden="1">
      <c r="A25" s="7" t="s">
        <v>9</v>
      </c>
      <c r="B25" s="7" t="s">
        <v>175</v>
      </c>
      <c r="C25" s="1" t="s">
        <v>18</v>
      </c>
      <c r="D25" s="7" t="s">
        <v>218</v>
      </c>
      <c r="E25" s="18">
        <v>0.29166666666666669</v>
      </c>
      <c r="F25" s="91">
        <v>0.2951388888888889</v>
      </c>
      <c r="G25" s="91">
        <v>0.30416666666666664</v>
      </c>
      <c r="H25" s="91">
        <v>0.46805555555555556</v>
      </c>
      <c r="I25" s="91">
        <f t="shared" ref="I25:I50" si="0">H25-G25</f>
        <v>0.16388888888888892</v>
      </c>
      <c r="J25" s="91">
        <f>Tabla4[[#This Row],[Planned Time]]-Tabla4[[#This Row],[Arrival time]]</f>
        <v>-3.4722222222222099E-3</v>
      </c>
      <c r="K25" s="32"/>
      <c r="L25" s="5" t="s">
        <v>16</v>
      </c>
      <c r="M25" s="1" t="s">
        <v>76</v>
      </c>
      <c r="N25" s="79" t="s">
        <v>107</v>
      </c>
      <c r="O25" s="5" t="s">
        <v>30</v>
      </c>
      <c r="Q25" s="48"/>
      <c r="R25" s="47"/>
      <c r="S25" s="47"/>
    </row>
    <row r="26" spans="1:19" hidden="1">
      <c r="A26" s="7" t="s">
        <v>116</v>
      </c>
      <c r="B26" s="7" t="s">
        <v>115</v>
      </c>
      <c r="C26" s="7" t="s">
        <v>18</v>
      </c>
      <c r="D26" s="76" t="s">
        <v>210</v>
      </c>
      <c r="E26" s="18" t="s">
        <v>152</v>
      </c>
      <c r="F26" s="91"/>
      <c r="G26" s="92"/>
      <c r="H26" s="92"/>
      <c r="I26" s="93"/>
      <c r="J26" s="92"/>
      <c r="K26" s="45"/>
      <c r="L26" s="5" t="s">
        <v>16</v>
      </c>
      <c r="M26" s="1" t="s">
        <v>147</v>
      </c>
      <c r="N26" s="79" t="s">
        <v>108</v>
      </c>
      <c r="O26" s="5" t="s">
        <v>30</v>
      </c>
      <c r="Q26" s="48"/>
      <c r="R26" s="47"/>
      <c r="S26" s="47"/>
    </row>
    <row r="27" spans="1:19" hidden="1">
      <c r="A27" s="7" t="s">
        <v>9</v>
      </c>
      <c r="B27" s="7" t="s">
        <v>117</v>
      </c>
      <c r="C27" s="7" t="s">
        <v>18</v>
      </c>
      <c r="D27" s="7" t="s">
        <v>219</v>
      </c>
      <c r="E27" s="18">
        <v>0.20833333333333334</v>
      </c>
      <c r="F27" s="91">
        <v>0.22361111111111112</v>
      </c>
      <c r="G27" s="91">
        <v>0.22638888888888889</v>
      </c>
      <c r="H27" s="91">
        <v>0.26111111111111113</v>
      </c>
      <c r="I27" s="91">
        <f t="shared" si="0"/>
        <v>3.4722222222222238E-2</v>
      </c>
      <c r="J27" s="91">
        <f>Tabla4[[#This Row],[Planned Time]]-Tabla4[[#This Row],[Arrival time]]</f>
        <v>-1.5277777777777779E-2</v>
      </c>
      <c r="K27" s="32"/>
      <c r="L27" s="5" t="s">
        <v>16</v>
      </c>
      <c r="M27" s="1" t="s">
        <v>77</v>
      </c>
      <c r="N27" s="79" t="s">
        <v>106</v>
      </c>
      <c r="O27" s="5" t="s">
        <v>30</v>
      </c>
      <c r="Q27" s="48"/>
      <c r="R27" s="47"/>
      <c r="S27" s="47"/>
    </row>
    <row r="28" spans="1:19" hidden="1">
      <c r="A28" s="7" t="s">
        <v>9</v>
      </c>
      <c r="B28" s="7" t="s">
        <v>118</v>
      </c>
      <c r="C28" s="7" t="s">
        <v>18</v>
      </c>
      <c r="D28" s="7" t="s">
        <v>220</v>
      </c>
      <c r="E28" s="18">
        <v>0.20833333333333334</v>
      </c>
      <c r="F28" s="91">
        <v>0.2076388888888889</v>
      </c>
      <c r="G28" s="91">
        <v>0.22013888888888888</v>
      </c>
      <c r="H28" s="91">
        <v>0.27152777777777776</v>
      </c>
      <c r="I28" s="91">
        <f t="shared" si="0"/>
        <v>5.1388888888888873E-2</v>
      </c>
      <c r="J28" s="91">
        <f>Tabla4[[#This Row],[Planned Time]]-Tabla4[[#This Row],[Arrival time]]</f>
        <v>6.9444444444444198E-4</v>
      </c>
      <c r="K28" s="32"/>
      <c r="L28" s="5" t="s">
        <v>16</v>
      </c>
      <c r="M28" s="1" t="s">
        <v>78</v>
      </c>
      <c r="N28" s="79" t="s">
        <v>105</v>
      </c>
      <c r="O28" s="5" t="s">
        <v>30</v>
      </c>
      <c r="Q28" s="48"/>
      <c r="R28" s="47"/>
      <c r="S28" s="47"/>
    </row>
    <row r="29" spans="1:19" hidden="1">
      <c r="A29" s="7" t="s">
        <v>9</v>
      </c>
      <c r="B29" s="7" t="s">
        <v>119</v>
      </c>
      <c r="C29" s="7" t="s">
        <v>18</v>
      </c>
      <c r="D29" s="7" t="s">
        <v>221</v>
      </c>
      <c r="E29" s="18">
        <v>0.20833333333333334</v>
      </c>
      <c r="F29" s="91">
        <v>0.21597222222222223</v>
      </c>
      <c r="G29" s="91">
        <v>0.24444444444444444</v>
      </c>
      <c r="H29" s="91">
        <v>0.28402777777777777</v>
      </c>
      <c r="I29" s="91">
        <f t="shared" si="0"/>
        <v>3.9583333333333331E-2</v>
      </c>
      <c r="J29" s="91">
        <f>Tabla4[[#This Row],[Planned Time]]-Tabla4[[#This Row],[Arrival time]]</f>
        <v>-7.6388888888888895E-3</v>
      </c>
      <c r="K29" s="32"/>
      <c r="L29" s="5" t="s">
        <v>16</v>
      </c>
      <c r="M29" s="1" t="s">
        <v>91</v>
      </c>
      <c r="N29" s="79" t="s">
        <v>104</v>
      </c>
      <c r="O29" s="5" t="s">
        <v>30</v>
      </c>
      <c r="Q29" s="48"/>
      <c r="R29" s="47"/>
      <c r="S29" s="47"/>
    </row>
    <row r="30" spans="1:19" hidden="1">
      <c r="A30" s="7" t="s">
        <v>9</v>
      </c>
      <c r="B30" s="7" t="s">
        <v>75</v>
      </c>
      <c r="C30" s="7" t="s">
        <v>18</v>
      </c>
      <c r="D30" s="7" t="s">
        <v>222</v>
      </c>
      <c r="E30" s="18">
        <v>0.20833333333333334</v>
      </c>
      <c r="F30" s="91">
        <v>0.23402777777777778</v>
      </c>
      <c r="G30" s="91">
        <v>0.23958333333333334</v>
      </c>
      <c r="H30" s="91">
        <v>0.27361111111111114</v>
      </c>
      <c r="I30" s="91">
        <f t="shared" si="0"/>
        <v>3.4027777777777796E-2</v>
      </c>
      <c r="J30" s="91">
        <f>Tabla4[[#This Row],[Planned Time]]-Tabla4[[#This Row],[Arrival time]]</f>
        <v>-2.5694444444444436E-2</v>
      </c>
      <c r="K30" s="32"/>
      <c r="L30" s="5" t="s">
        <v>16</v>
      </c>
      <c r="M30" s="1" t="s">
        <v>79</v>
      </c>
      <c r="N30" s="79" t="s">
        <v>103</v>
      </c>
      <c r="O30" s="5" t="s">
        <v>30</v>
      </c>
      <c r="Q30" s="48"/>
      <c r="R30" s="47"/>
      <c r="S30" s="47"/>
    </row>
    <row r="31" spans="1:19" hidden="1">
      <c r="A31" s="7" t="s">
        <v>9</v>
      </c>
      <c r="B31" s="7" t="s">
        <v>120</v>
      </c>
      <c r="C31" s="7" t="s">
        <v>18</v>
      </c>
      <c r="D31" s="22" t="s">
        <v>223</v>
      </c>
      <c r="E31" s="18">
        <v>0.20833333333333334</v>
      </c>
      <c r="F31" s="91">
        <v>0.21111111111111111</v>
      </c>
      <c r="G31" s="90">
        <v>0.24930555555555556</v>
      </c>
      <c r="H31" s="90">
        <v>0.27430555555555558</v>
      </c>
      <c r="I31" s="90">
        <f t="shared" si="0"/>
        <v>2.5000000000000022E-2</v>
      </c>
      <c r="J31" s="90">
        <f>Tabla4[[#This Row],[Planned Time]]-Tabla4[[#This Row],[Arrival time]]</f>
        <v>-2.7777777777777679E-3</v>
      </c>
      <c r="K31" s="31"/>
      <c r="L31" s="25" t="s">
        <v>16</v>
      </c>
      <c r="M31" s="28" t="s">
        <v>80</v>
      </c>
      <c r="N31" s="81" t="s">
        <v>102</v>
      </c>
      <c r="O31" s="25" t="s">
        <v>30</v>
      </c>
      <c r="Q31" s="48"/>
      <c r="R31" s="47"/>
      <c r="S31" s="47"/>
    </row>
    <row r="32" spans="1:19" hidden="1">
      <c r="A32" s="7" t="s">
        <v>9</v>
      </c>
      <c r="B32" s="7" t="s">
        <v>121</v>
      </c>
      <c r="C32" s="7" t="s">
        <v>18</v>
      </c>
      <c r="D32" s="22" t="s">
        <v>224</v>
      </c>
      <c r="E32" s="18">
        <v>0.20833333333333334</v>
      </c>
      <c r="F32" s="91">
        <v>0.21249999999999999</v>
      </c>
      <c r="G32" s="90">
        <v>0.24861111111111112</v>
      </c>
      <c r="H32" s="90">
        <v>0.29722222222222222</v>
      </c>
      <c r="I32" s="90">
        <f t="shared" si="0"/>
        <v>4.8611111111111105E-2</v>
      </c>
      <c r="J32" s="90">
        <f>Tabla4[[#This Row],[Planned Time]]-Tabla4[[#This Row],[Arrival time]]</f>
        <v>-4.1666666666666519E-3</v>
      </c>
      <c r="K32" s="31"/>
      <c r="L32" s="25" t="s">
        <v>16</v>
      </c>
      <c r="M32" s="28" t="s">
        <v>81</v>
      </c>
      <c r="N32" s="81" t="s">
        <v>101</v>
      </c>
      <c r="O32" s="25" t="s">
        <v>30</v>
      </c>
      <c r="Q32" s="48"/>
      <c r="R32" s="47"/>
      <c r="S32" s="47"/>
    </row>
    <row r="33" spans="1:19" hidden="1">
      <c r="A33" s="7" t="s">
        <v>9</v>
      </c>
      <c r="B33" s="7" t="s">
        <v>122</v>
      </c>
      <c r="C33" s="7" t="s">
        <v>18</v>
      </c>
      <c r="D33" s="22" t="s">
        <v>225</v>
      </c>
      <c r="E33" s="18">
        <v>0.22916666666666666</v>
      </c>
      <c r="F33" s="91">
        <v>0.23125000000000001</v>
      </c>
      <c r="G33" s="90">
        <v>0.2326388888888889</v>
      </c>
      <c r="H33" s="90">
        <v>0.26805555555555555</v>
      </c>
      <c r="I33" s="90">
        <f t="shared" si="0"/>
        <v>3.5416666666666652E-2</v>
      </c>
      <c r="J33" s="90">
        <f>Tabla4[[#This Row],[Planned Time]]-Tabla4[[#This Row],[Arrival time]]</f>
        <v>-2.0833333333333537E-3</v>
      </c>
      <c r="K33" s="31"/>
      <c r="L33" s="25" t="s">
        <v>16</v>
      </c>
      <c r="M33" s="28" t="s">
        <v>82</v>
      </c>
      <c r="N33" s="81" t="s">
        <v>100</v>
      </c>
      <c r="O33" s="25" t="s">
        <v>30</v>
      </c>
      <c r="Q33" s="48"/>
      <c r="R33" s="47"/>
      <c r="S33" s="47"/>
    </row>
    <row r="34" spans="1:19" hidden="1">
      <c r="A34" s="7" t="s">
        <v>46</v>
      </c>
      <c r="B34" s="7" t="s">
        <v>123</v>
      </c>
      <c r="C34" s="7" t="s">
        <v>18</v>
      </c>
      <c r="D34" s="22" t="s">
        <v>226</v>
      </c>
      <c r="E34" s="18">
        <v>0.33333333333333331</v>
      </c>
      <c r="F34" s="91">
        <v>0.35555555555555557</v>
      </c>
      <c r="G34" s="90">
        <v>0.36458333333333331</v>
      </c>
      <c r="H34" s="90">
        <v>0.40208333333333335</v>
      </c>
      <c r="I34" s="90">
        <f t="shared" si="0"/>
        <v>3.7500000000000033E-2</v>
      </c>
      <c r="J34" s="90">
        <f>Tabla4[[#This Row],[Planned Time]]-Tabla4[[#This Row],[Arrival time]]</f>
        <v>-2.2222222222222254E-2</v>
      </c>
      <c r="K34" s="31"/>
      <c r="L34" s="25" t="s">
        <v>16</v>
      </c>
      <c r="M34" s="28" t="s">
        <v>83</v>
      </c>
      <c r="N34" s="81" t="s">
        <v>99</v>
      </c>
      <c r="O34" s="25" t="s">
        <v>30</v>
      </c>
      <c r="Q34" s="48"/>
      <c r="R34" s="47"/>
      <c r="S34" s="47"/>
    </row>
    <row r="35" spans="1:19" hidden="1">
      <c r="A35" s="7" t="s">
        <v>9</v>
      </c>
      <c r="B35" s="7" t="s">
        <v>124</v>
      </c>
      <c r="C35" s="7" t="s">
        <v>18</v>
      </c>
      <c r="D35" s="22" t="s">
        <v>227</v>
      </c>
      <c r="E35" s="18">
        <v>0.20833333333333334</v>
      </c>
      <c r="F35" s="91">
        <v>0.21736111111111112</v>
      </c>
      <c r="G35" s="90">
        <v>0.22500000000000001</v>
      </c>
      <c r="H35" s="90">
        <v>0.26041666666666669</v>
      </c>
      <c r="I35" s="90">
        <f t="shared" si="0"/>
        <v>3.541666666666668E-2</v>
      </c>
      <c r="J35" s="90">
        <f>Tabla4[[#This Row],[Planned Time]]-Tabla4[[#This Row],[Arrival time]]</f>
        <v>-9.0277777777777735E-3</v>
      </c>
      <c r="K35" s="31"/>
      <c r="L35" s="25" t="s">
        <v>16</v>
      </c>
      <c r="M35" s="28" t="s">
        <v>84</v>
      </c>
      <c r="N35" s="81" t="s">
        <v>98</v>
      </c>
      <c r="O35" s="25" t="s">
        <v>30</v>
      </c>
      <c r="Q35" s="48"/>
      <c r="R35" s="47"/>
      <c r="S35" s="47"/>
    </row>
    <row r="36" spans="1:19" hidden="1">
      <c r="A36" s="12" t="s">
        <v>20</v>
      </c>
      <c r="B36" s="12" t="s">
        <v>20</v>
      </c>
      <c r="C36" s="12" t="s">
        <v>20</v>
      </c>
      <c r="D36" s="78" t="s">
        <v>228</v>
      </c>
      <c r="E36" s="18" t="s">
        <v>20</v>
      </c>
      <c r="F36" s="91"/>
      <c r="G36" s="91"/>
      <c r="H36" s="91"/>
      <c r="I36" s="8"/>
      <c r="J36" s="8"/>
      <c r="K36" s="33"/>
      <c r="L36" s="12" t="s">
        <v>20</v>
      </c>
      <c r="M36" s="12" t="s">
        <v>20</v>
      </c>
      <c r="N36" s="12" t="s">
        <v>20</v>
      </c>
      <c r="O36" s="5" t="s">
        <v>30</v>
      </c>
      <c r="Q36" s="48"/>
      <c r="R36" s="47"/>
      <c r="S36" s="47"/>
    </row>
    <row r="37" spans="1:19" hidden="1">
      <c r="A37" s="12" t="s">
        <v>20</v>
      </c>
      <c r="B37" s="12" t="s">
        <v>20</v>
      </c>
      <c r="C37" s="12" t="s">
        <v>20</v>
      </c>
      <c r="D37" s="78" t="s">
        <v>229</v>
      </c>
      <c r="E37" s="18" t="s">
        <v>20</v>
      </c>
      <c r="F37" s="91"/>
      <c r="G37" s="91"/>
      <c r="H37" s="91"/>
      <c r="I37" s="8"/>
      <c r="J37" s="8"/>
      <c r="K37" s="33"/>
      <c r="L37" s="12" t="s">
        <v>20</v>
      </c>
      <c r="M37" s="12" t="s">
        <v>20</v>
      </c>
      <c r="N37" s="12" t="s">
        <v>20</v>
      </c>
      <c r="O37" s="5" t="s">
        <v>30</v>
      </c>
      <c r="Q37" s="48"/>
      <c r="R37" s="47"/>
      <c r="S37" s="47"/>
    </row>
    <row r="38" spans="1:19" hidden="1">
      <c r="A38" s="12" t="s">
        <v>20</v>
      </c>
      <c r="B38" s="12" t="s">
        <v>20</v>
      </c>
      <c r="C38" s="12" t="s">
        <v>20</v>
      </c>
      <c r="D38" s="78" t="s">
        <v>230</v>
      </c>
      <c r="E38" s="18" t="s">
        <v>20</v>
      </c>
      <c r="F38" s="91"/>
      <c r="G38" s="91"/>
      <c r="H38" s="91"/>
      <c r="I38" s="8"/>
      <c r="J38" s="8"/>
      <c r="K38" s="33"/>
      <c r="L38" s="12" t="s">
        <v>20</v>
      </c>
      <c r="M38" s="12" t="s">
        <v>20</v>
      </c>
      <c r="N38" s="12" t="s">
        <v>20</v>
      </c>
      <c r="O38" s="5" t="s">
        <v>30</v>
      </c>
      <c r="Q38" s="48"/>
      <c r="R38" s="47"/>
      <c r="S38" s="47"/>
    </row>
    <row r="39" spans="1:19" hidden="1">
      <c r="A39" s="7" t="s">
        <v>9</v>
      </c>
      <c r="B39" s="7" t="s">
        <v>125</v>
      </c>
      <c r="C39" s="7" t="s">
        <v>18</v>
      </c>
      <c r="D39" s="7" t="s">
        <v>231</v>
      </c>
      <c r="E39" s="18">
        <v>0.33333333333333331</v>
      </c>
      <c r="F39" s="91">
        <v>0.31874999999999998</v>
      </c>
      <c r="G39" s="91">
        <v>0.33611111111111114</v>
      </c>
      <c r="H39" s="91">
        <v>0.4777777777777778</v>
      </c>
      <c r="I39" s="91">
        <f t="shared" si="0"/>
        <v>0.14166666666666666</v>
      </c>
      <c r="J39" s="91">
        <f>Tabla4[[#This Row],[Planned Time]]-Tabla4[[#This Row],[Arrival time]]</f>
        <v>1.4583333333333337E-2</v>
      </c>
      <c r="K39" s="32"/>
      <c r="L39" s="5" t="s">
        <v>16</v>
      </c>
      <c r="M39" s="1" t="s">
        <v>85</v>
      </c>
      <c r="N39" s="79" t="s">
        <v>97</v>
      </c>
      <c r="O39" s="5" t="s">
        <v>30</v>
      </c>
      <c r="Q39" s="48"/>
      <c r="R39" s="47"/>
      <c r="S39" s="47"/>
    </row>
    <row r="40" spans="1:19" hidden="1">
      <c r="A40" s="7" t="s">
        <v>9</v>
      </c>
      <c r="B40" s="7" t="s">
        <v>126</v>
      </c>
      <c r="C40" s="7" t="s">
        <v>18</v>
      </c>
      <c r="D40" s="7" t="s">
        <v>232</v>
      </c>
      <c r="E40" s="18">
        <v>0.20833333333333334</v>
      </c>
      <c r="F40" s="91">
        <v>0.20416666666666666</v>
      </c>
      <c r="G40" s="91">
        <v>0.21041666666666667</v>
      </c>
      <c r="H40" s="91">
        <v>0.27013888888888887</v>
      </c>
      <c r="I40" s="91">
        <f t="shared" si="0"/>
        <v>5.9722222222222204E-2</v>
      </c>
      <c r="J40" s="91">
        <f>Tabla4[[#This Row],[Planned Time]]-Tabla4[[#This Row],[Arrival time]]</f>
        <v>4.1666666666666796E-3</v>
      </c>
      <c r="K40" s="32"/>
      <c r="L40" s="5" t="s">
        <v>16</v>
      </c>
      <c r="M40" s="1" t="s">
        <v>89</v>
      </c>
      <c r="N40" s="79" t="s">
        <v>96</v>
      </c>
      <c r="O40" s="5" t="s">
        <v>30</v>
      </c>
      <c r="Q40" s="48"/>
      <c r="R40" s="47"/>
      <c r="S40" s="47"/>
    </row>
    <row r="41" spans="1:19" hidden="1">
      <c r="A41" s="7" t="s">
        <v>9</v>
      </c>
      <c r="B41" s="7" t="s">
        <v>127</v>
      </c>
      <c r="C41" s="7" t="s">
        <v>18</v>
      </c>
      <c r="D41" s="22" t="s">
        <v>233</v>
      </c>
      <c r="E41" s="18">
        <v>0.16666666666666666</v>
      </c>
      <c r="F41" s="91">
        <v>0.16527777777777777</v>
      </c>
      <c r="G41" s="90">
        <v>0.1701388888888889</v>
      </c>
      <c r="H41" s="90">
        <v>0.22708333333333333</v>
      </c>
      <c r="I41" s="90">
        <f t="shared" si="0"/>
        <v>5.6944444444444436E-2</v>
      </c>
      <c r="J41" s="90">
        <f>Tabla4[[#This Row],[Planned Time]]-Tabla4[[#This Row],[Arrival time]]</f>
        <v>1.388888888888884E-3</v>
      </c>
      <c r="K41" s="31"/>
      <c r="L41" s="25" t="s">
        <v>16</v>
      </c>
      <c r="M41" s="28" t="s">
        <v>90</v>
      </c>
      <c r="N41" s="81" t="s">
        <v>95</v>
      </c>
      <c r="O41" s="25" t="s">
        <v>30</v>
      </c>
      <c r="Q41" s="48"/>
      <c r="R41" s="47"/>
      <c r="S41" s="47"/>
    </row>
    <row r="42" spans="1:19" hidden="1">
      <c r="A42" s="7" t="s">
        <v>9</v>
      </c>
      <c r="B42" s="7" t="s">
        <v>128</v>
      </c>
      <c r="C42" s="7" t="s">
        <v>18</v>
      </c>
      <c r="D42" s="22" t="s">
        <v>234</v>
      </c>
      <c r="E42" s="18">
        <v>0.20833333333333334</v>
      </c>
      <c r="F42" s="91">
        <v>0.2013888888888889</v>
      </c>
      <c r="G42" s="90">
        <v>0.21180555555555555</v>
      </c>
      <c r="H42" s="90">
        <v>0.27500000000000002</v>
      </c>
      <c r="I42" s="90">
        <f t="shared" si="0"/>
        <v>6.319444444444447E-2</v>
      </c>
      <c r="J42" s="90">
        <f>Tabla4[[#This Row],[Planned Time]]-Tabla4[[#This Row],[Arrival time]]</f>
        <v>6.9444444444444475E-3</v>
      </c>
      <c r="K42" s="31"/>
      <c r="L42" s="25" t="s">
        <v>16</v>
      </c>
      <c r="M42" s="28" t="s">
        <v>86</v>
      </c>
      <c r="N42" s="81" t="s">
        <v>94</v>
      </c>
      <c r="O42" s="25" t="s">
        <v>30</v>
      </c>
      <c r="Q42" s="48"/>
      <c r="R42" s="47"/>
      <c r="S42" s="47"/>
    </row>
    <row r="43" spans="1:19" hidden="1">
      <c r="A43" s="7" t="s">
        <v>9</v>
      </c>
      <c r="B43" s="7" t="s">
        <v>130</v>
      </c>
      <c r="C43" s="7" t="s">
        <v>18</v>
      </c>
      <c r="D43" s="22" t="s">
        <v>235</v>
      </c>
      <c r="E43" s="18">
        <v>0.20833333333333334</v>
      </c>
      <c r="F43" s="91">
        <v>0.20277777777777778</v>
      </c>
      <c r="G43" s="90">
        <v>0.21458333333333332</v>
      </c>
      <c r="H43" s="90">
        <v>0.375</v>
      </c>
      <c r="I43" s="90">
        <f t="shared" si="0"/>
        <v>0.16041666666666668</v>
      </c>
      <c r="J43" s="90">
        <f>Tabla4[[#This Row],[Planned Time]]-Tabla4[[#This Row],[Arrival time]]</f>
        <v>5.5555555555555636E-3</v>
      </c>
      <c r="K43" s="31"/>
      <c r="L43" s="25" t="s">
        <v>16</v>
      </c>
      <c r="M43" s="28" t="s">
        <v>87</v>
      </c>
      <c r="N43" s="81" t="s">
        <v>93</v>
      </c>
      <c r="O43" s="25" t="s">
        <v>30</v>
      </c>
      <c r="Q43" s="48"/>
      <c r="R43" s="47"/>
      <c r="S43" s="47"/>
    </row>
    <row r="44" spans="1:19" hidden="1">
      <c r="A44" s="7" t="s">
        <v>116</v>
      </c>
      <c r="B44" s="7" t="s">
        <v>129</v>
      </c>
      <c r="C44" s="7" t="s">
        <v>18</v>
      </c>
      <c r="D44" s="77" t="s">
        <v>210</v>
      </c>
      <c r="E44" s="18" t="s">
        <v>152</v>
      </c>
      <c r="F44" s="91"/>
      <c r="G44" s="92"/>
      <c r="H44" s="92"/>
      <c r="I44" s="93"/>
      <c r="J44" s="92"/>
      <c r="K44" s="45"/>
      <c r="L44" s="25" t="s">
        <v>16</v>
      </c>
      <c r="M44" s="28" t="s">
        <v>148</v>
      </c>
      <c r="N44" s="81" t="s">
        <v>113</v>
      </c>
      <c r="O44" s="25" t="s">
        <v>30</v>
      </c>
      <c r="Q44" s="48"/>
      <c r="R44" s="47"/>
      <c r="S44" s="47"/>
    </row>
    <row r="45" spans="1:19" hidden="1">
      <c r="A45" s="7" t="s">
        <v>9</v>
      </c>
      <c r="B45" s="7" t="s">
        <v>114</v>
      </c>
      <c r="C45" s="7" t="s">
        <v>18</v>
      </c>
      <c r="D45" s="22" t="s">
        <v>236</v>
      </c>
      <c r="E45" s="18">
        <v>0.20833333333333334</v>
      </c>
      <c r="F45" s="91">
        <v>0.2076388888888889</v>
      </c>
      <c r="G45" s="90">
        <v>0.22083333333333333</v>
      </c>
      <c r="H45" s="90">
        <v>0.39027777777777778</v>
      </c>
      <c r="I45" s="90">
        <f t="shared" si="0"/>
        <v>0.16944444444444445</v>
      </c>
      <c r="J45" s="90">
        <f>Tabla4[[#This Row],[Planned Time]]-Tabla4[[#This Row],[Arrival time]]</f>
        <v>6.9444444444444198E-4</v>
      </c>
      <c r="K45" s="31"/>
      <c r="L45" s="25" t="s">
        <v>16</v>
      </c>
      <c r="M45" s="28" t="s">
        <v>88</v>
      </c>
      <c r="N45" s="81" t="s">
        <v>92</v>
      </c>
      <c r="O45" s="25" t="s">
        <v>30</v>
      </c>
      <c r="Q45" s="48"/>
      <c r="R45" s="47"/>
      <c r="S45" s="47"/>
    </row>
    <row r="46" spans="1:19" hidden="1">
      <c r="A46" s="7" t="s">
        <v>9</v>
      </c>
      <c r="B46" s="7" t="s">
        <v>136</v>
      </c>
      <c r="C46" s="7" t="s">
        <v>18</v>
      </c>
      <c r="D46" s="22" t="s">
        <v>237</v>
      </c>
      <c r="E46" s="18">
        <v>0.20833333333333334</v>
      </c>
      <c r="F46" s="91">
        <v>0.21666666666666667</v>
      </c>
      <c r="G46" s="90">
        <v>0.21944444444444444</v>
      </c>
      <c r="H46" s="90">
        <v>0.30486111111111114</v>
      </c>
      <c r="I46" s="90">
        <f t="shared" si="0"/>
        <v>8.5416666666666696E-2</v>
      </c>
      <c r="J46" s="90">
        <f>Tabla4[[#This Row],[Planned Time]]-Tabla4[[#This Row],[Arrival time]]</f>
        <v>-8.3333333333333315E-3</v>
      </c>
      <c r="K46" s="31"/>
      <c r="L46" s="25" t="s">
        <v>16</v>
      </c>
      <c r="M46" s="28" t="s">
        <v>135</v>
      </c>
      <c r="N46" s="81" t="s">
        <v>134</v>
      </c>
      <c r="O46" s="25" t="s">
        <v>30</v>
      </c>
      <c r="Q46" s="48"/>
      <c r="R46" s="47"/>
      <c r="S46" s="47"/>
    </row>
    <row r="47" spans="1:19" hidden="1">
      <c r="A47" s="1" t="s">
        <v>20</v>
      </c>
      <c r="B47" s="1" t="s">
        <v>20</v>
      </c>
      <c r="C47" s="7" t="s">
        <v>20</v>
      </c>
      <c r="D47" s="22" t="s">
        <v>210</v>
      </c>
      <c r="E47" s="18" t="s">
        <v>152</v>
      </c>
      <c r="F47" s="91"/>
      <c r="G47" s="92"/>
      <c r="H47" s="92"/>
      <c r="I47" s="93"/>
      <c r="J47" s="92"/>
      <c r="K47" s="45"/>
      <c r="L47" s="25" t="s">
        <v>31</v>
      </c>
      <c r="M47" s="28" t="s">
        <v>149</v>
      </c>
      <c r="N47" s="10" t="s">
        <v>137</v>
      </c>
      <c r="O47" s="1" t="s">
        <v>138</v>
      </c>
      <c r="Q47" s="48"/>
      <c r="R47" s="47"/>
      <c r="S47" s="47"/>
    </row>
    <row r="48" spans="1:19">
      <c r="A48" s="7" t="s">
        <v>9</v>
      </c>
      <c r="B48" s="7" t="s">
        <v>153</v>
      </c>
      <c r="C48" s="7" t="s">
        <v>18</v>
      </c>
      <c r="D48" s="7">
        <v>44621</v>
      </c>
      <c r="E48" s="18">
        <v>0.20833333333333334</v>
      </c>
      <c r="F48" s="91">
        <v>0.21111111111111111</v>
      </c>
      <c r="G48" s="90">
        <v>0.21458333333333332</v>
      </c>
      <c r="H48" s="90">
        <v>0.30208333333333331</v>
      </c>
      <c r="I48" s="90">
        <f t="shared" si="0"/>
        <v>8.7499999999999994E-2</v>
      </c>
      <c r="J48" s="90">
        <f>Tabla4[[#This Row],[Planned Time]]-Tabla4[[#This Row],[Arrival time]]</f>
        <v>-2.7777777777777679E-3</v>
      </c>
      <c r="K48" s="31"/>
      <c r="L48" s="5" t="s">
        <v>16</v>
      </c>
      <c r="M48" s="1" t="s">
        <v>140</v>
      </c>
      <c r="N48" s="103" t="s">
        <v>141</v>
      </c>
      <c r="O48" s="1" t="s">
        <v>30</v>
      </c>
      <c r="Q48" s="48"/>
      <c r="R48" s="47"/>
      <c r="S48" s="47"/>
    </row>
    <row r="49" spans="1:19">
      <c r="A49" s="7" t="s">
        <v>116</v>
      </c>
      <c r="B49" s="7" t="s">
        <v>154</v>
      </c>
      <c r="C49" s="7" t="s">
        <v>18</v>
      </c>
      <c r="D49" s="7">
        <v>44621</v>
      </c>
      <c r="E49" s="18" t="s">
        <v>152</v>
      </c>
      <c r="F49" s="91"/>
      <c r="G49" s="92"/>
      <c r="H49" s="92"/>
      <c r="I49" s="93"/>
      <c r="J49" s="92"/>
      <c r="K49" s="45"/>
      <c r="L49" s="5" t="s">
        <v>16</v>
      </c>
      <c r="M49" s="1" t="s">
        <v>142</v>
      </c>
      <c r="N49" s="103" t="s">
        <v>143</v>
      </c>
      <c r="O49" s="1" t="s">
        <v>30</v>
      </c>
      <c r="Q49" s="48"/>
      <c r="R49" s="47"/>
      <c r="S49" s="47"/>
    </row>
    <row r="50" spans="1:19">
      <c r="A50" s="1" t="s">
        <v>174</v>
      </c>
      <c r="B50" s="1" t="s">
        <v>174</v>
      </c>
      <c r="C50" s="1" t="s">
        <v>18</v>
      </c>
      <c r="D50" s="7">
        <v>44623</v>
      </c>
      <c r="E50" s="18">
        <v>0.20833333333333334</v>
      </c>
      <c r="F50" s="91">
        <v>0.20833333333333334</v>
      </c>
      <c r="G50" s="90">
        <v>0.23958333333333334</v>
      </c>
      <c r="H50" s="90">
        <v>0.39444444444444443</v>
      </c>
      <c r="I50" s="90">
        <f t="shared" si="0"/>
        <v>0.15486111111111109</v>
      </c>
      <c r="J50" s="90">
        <f>Tabla4[[#This Row],[Planned Time]]-Tabla4[[#This Row],[Arrival time]]</f>
        <v>0</v>
      </c>
      <c r="K50" s="45"/>
      <c r="L50" s="5" t="s">
        <v>16</v>
      </c>
      <c r="M50" s="1" t="s">
        <v>167</v>
      </c>
      <c r="N50" s="103" t="s">
        <v>166</v>
      </c>
      <c r="O50" s="1" t="s">
        <v>205</v>
      </c>
    </row>
    <row r="51" spans="1:19">
      <c r="A51" s="1" t="s">
        <v>170</v>
      </c>
      <c r="B51" s="1" t="s">
        <v>169</v>
      </c>
      <c r="C51" s="1" t="s">
        <v>18</v>
      </c>
      <c r="D51" s="7">
        <v>44623</v>
      </c>
      <c r="E51" s="18" t="s">
        <v>152</v>
      </c>
      <c r="F51" s="92"/>
      <c r="G51" s="92"/>
      <c r="H51" s="92"/>
      <c r="I51" s="93"/>
      <c r="J51" s="92"/>
      <c r="K51" s="45"/>
      <c r="L51" s="5" t="s">
        <v>16</v>
      </c>
      <c r="M51" s="1" t="s">
        <v>168</v>
      </c>
      <c r="N51" s="103" t="s">
        <v>171</v>
      </c>
      <c r="O51" s="1" t="s">
        <v>30</v>
      </c>
    </row>
    <row r="52" spans="1:19">
      <c r="A52" s="1" t="s">
        <v>170</v>
      </c>
      <c r="B52" s="1" t="s">
        <v>179</v>
      </c>
      <c r="C52" s="1" t="s">
        <v>18</v>
      </c>
      <c r="D52" s="7">
        <v>44623</v>
      </c>
      <c r="E52" s="18" t="s">
        <v>152</v>
      </c>
      <c r="F52" s="92"/>
      <c r="G52" s="92"/>
      <c r="H52" s="92"/>
      <c r="I52" s="93"/>
      <c r="J52" s="92"/>
      <c r="K52" s="45"/>
      <c r="L52" s="5" t="s">
        <v>16</v>
      </c>
      <c r="M52" s="1" t="s">
        <v>173</v>
      </c>
      <c r="N52" s="103" t="s">
        <v>172</v>
      </c>
      <c r="O52" s="1" t="s">
        <v>30</v>
      </c>
    </row>
    <row r="53" spans="1:19">
      <c r="A53" s="1" t="s">
        <v>9</v>
      </c>
      <c r="B53" s="1" t="s">
        <v>178</v>
      </c>
      <c r="C53" s="1" t="s">
        <v>18</v>
      </c>
      <c r="D53" s="7">
        <v>44625</v>
      </c>
      <c r="E53" s="18">
        <v>0.20833333333333334</v>
      </c>
      <c r="F53" s="91">
        <v>0.20833333333333334</v>
      </c>
      <c r="G53" s="90">
        <v>0.24166666666666667</v>
      </c>
      <c r="H53" s="91">
        <v>0.3125</v>
      </c>
      <c r="I53" s="90">
        <f>H53-G53</f>
        <v>7.0833333333333331E-2</v>
      </c>
      <c r="J53" s="90">
        <f>Tabla4[[#This Row],[Planned Time]]-Tabla4[[#This Row],[Arrival time]]</f>
        <v>0</v>
      </c>
      <c r="K53" s="45"/>
      <c r="L53" s="5" t="s">
        <v>16</v>
      </c>
      <c r="M53" s="1" t="s">
        <v>177</v>
      </c>
      <c r="N53" s="103" t="s">
        <v>176</v>
      </c>
      <c r="O53" s="1" t="s">
        <v>206</v>
      </c>
    </row>
    <row r="54" spans="1:19">
      <c r="A54" s="1" t="s">
        <v>9</v>
      </c>
      <c r="B54" s="1" t="s">
        <v>244</v>
      </c>
      <c r="C54" s="1" t="s">
        <v>18</v>
      </c>
      <c r="D54" s="7">
        <v>44628</v>
      </c>
      <c r="E54" s="18">
        <v>0.22916666666666666</v>
      </c>
      <c r="F54" s="91">
        <v>0.23194444444444445</v>
      </c>
      <c r="G54" s="90">
        <v>0.23472222222222222</v>
      </c>
      <c r="H54" s="91">
        <v>0.30555555555555558</v>
      </c>
      <c r="I54" s="90">
        <f>H54-G54</f>
        <v>7.0833333333333359E-2</v>
      </c>
      <c r="J54" s="90">
        <f>Tabla4[[#This Row],[Planned Time]]-Tabla4[[#This Row],[Arrival time]]</f>
        <v>-2.7777777777777957E-3</v>
      </c>
      <c r="K54" s="45"/>
      <c r="L54" s="5" t="s">
        <v>16</v>
      </c>
      <c r="M54" s="1" t="s">
        <v>181</v>
      </c>
      <c r="N54" s="103" t="s">
        <v>180</v>
      </c>
      <c r="O54" s="1" t="s">
        <v>30</v>
      </c>
    </row>
    <row r="55" spans="1:19">
      <c r="A55" s="1" t="s">
        <v>116</v>
      </c>
      <c r="B55" s="1" t="s">
        <v>245</v>
      </c>
      <c r="C55" s="1" t="s">
        <v>18</v>
      </c>
      <c r="D55" s="7">
        <v>44628</v>
      </c>
      <c r="E55" s="18" t="s">
        <v>152</v>
      </c>
      <c r="F55" s="92"/>
      <c r="G55" s="92"/>
      <c r="H55" s="92"/>
      <c r="I55" s="93"/>
      <c r="J55" s="92"/>
      <c r="K55" s="45"/>
      <c r="L55" s="5" t="s">
        <v>16</v>
      </c>
      <c r="M55" s="1" t="s">
        <v>182</v>
      </c>
      <c r="N55" s="103" t="s">
        <v>310</v>
      </c>
      <c r="O55" s="1" t="s">
        <v>30</v>
      </c>
    </row>
    <row r="56" spans="1:19">
      <c r="A56" s="1" t="s">
        <v>9</v>
      </c>
      <c r="B56" s="1" t="s">
        <v>246</v>
      </c>
      <c r="C56" s="1" t="s">
        <v>18</v>
      </c>
      <c r="D56" s="7">
        <v>44630</v>
      </c>
      <c r="E56" s="18">
        <v>0.22916666666666666</v>
      </c>
      <c r="F56" s="91">
        <v>0.23541666666666666</v>
      </c>
      <c r="G56" s="91">
        <v>0.25624999999999998</v>
      </c>
      <c r="H56" s="91">
        <v>0.28958333333333336</v>
      </c>
      <c r="I56" s="90">
        <f t="shared" ref="I56:I62" si="1">H56-G56</f>
        <v>3.3333333333333381E-2</v>
      </c>
      <c r="J56" s="90">
        <f>Tabla4[[#This Row],[Planned Time]]-Tabla4[[#This Row],[Arrival time]]</f>
        <v>-6.2500000000000056E-3</v>
      </c>
      <c r="K56" s="45"/>
      <c r="L56" s="5" t="s">
        <v>16</v>
      </c>
      <c r="M56" s="1" t="s">
        <v>184</v>
      </c>
      <c r="N56" s="103" t="s">
        <v>183</v>
      </c>
      <c r="O56" s="1" t="s">
        <v>30</v>
      </c>
    </row>
    <row r="57" spans="1:19">
      <c r="A57" s="1" t="s">
        <v>46</v>
      </c>
      <c r="B57" s="1" t="s">
        <v>247</v>
      </c>
      <c r="C57" s="1" t="s">
        <v>18</v>
      </c>
      <c r="D57" s="7">
        <v>44632</v>
      </c>
      <c r="E57" s="18">
        <v>0.39583333333333331</v>
      </c>
      <c r="F57" s="91">
        <v>0.37986111111111109</v>
      </c>
      <c r="G57" s="91">
        <v>0.38680555555555557</v>
      </c>
      <c r="H57" s="91">
        <v>0.41875000000000001</v>
      </c>
      <c r="I57" s="90">
        <f t="shared" si="1"/>
        <v>3.1944444444444442E-2</v>
      </c>
      <c r="J57" s="90">
        <f>Tabla4[[#This Row],[Planned Time]]-Tabla4[[#This Row],[Arrival time]]</f>
        <v>1.5972222222222221E-2</v>
      </c>
      <c r="K57" s="45"/>
      <c r="L57" s="5" t="s">
        <v>16</v>
      </c>
      <c r="M57" s="1" t="s">
        <v>186</v>
      </c>
      <c r="N57" s="103" t="s">
        <v>185</v>
      </c>
      <c r="O57" s="1" t="s">
        <v>30</v>
      </c>
    </row>
    <row r="58" spans="1:19">
      <c r="A58" s="1" t="s">
        <v>9</v>
      </c>
      <c r="B58" s="1" t="s">
        <v>241</v>
      </c>
      <c r="C58" s="1" t="s">
        <v>18</v>
      </c>
      <c r="D58" s="7">
        <v>44635</v>
      </c>
      <c r="E58" s="18">
        <v>0.20833333333333334</v>
      </c>
      <c r="F58" s="91">
        <v>0.20972222222222223</v>
      </c>
      <c r="G58" s="91">
        <v>0.22847222222222222</v>
      </c>
      <c r="H58" s="91">
        <v>0.28472222222222221</v>
      </c>
      <c r="I58" s="90">
        <f t="shared" si="1"/>
        <v>5.6249999999999994E-2</v>
      </c>
      <c r="J58" s="90">
        <f>Tabla4[[#This Row],[Planned Time]]-Tabla4[[#This Row],[Arrival time]]</f>
        <v>-1.388888888888884E-3</v>
      </c>
      <c r="K58" s="45"/>
      <c r="L58" s="5" t="s">
        <v>16</v>
      </c>
      <c r="M58" s="1" t="s">
        <v>250</v>
      </c>
      <c r="N58" s="103" t="s">
        <v>187</v>
      </c>
      <c r="O58" s="1" t="s">
        <v>30</v>
      </c>
    </row>
    <row r="59" spans="1:19">
      <c r="A59" s="1" t="s">
        <v>46</v>
      </c>
      <c r="B59" s="1" t="s">
        <v>242</v>
      </c>
      <c r="C59" s="1" t="s">
        <v>18</v>
      </c>
      <c r="D59" s="7">
        <v>44637</v>
      </c>
      <c r="E59" s="18">
        <v>0.20833333333333334</v>
      </c>
      <c r="F59" s="91">
        <v>0.20416666666666666</v>
      </c>
      <c r="G59" s="91">
        <v>0.23333333333333334</v>
      </c>
      <c r="H59" s="91">
        <v>0.29166666666666669</v>
      </c>
      <c r="I59" s="90">
        <f t="shared" si="1"/>
        <v>5.8333333333333348E-2</v>
      </c>
      <c r="J59" s="90">
        <f>Tabla4[[#This Row],[Planned Time]]-Tabla4[[#This Row],[Arrival time]]</f>
        <v>4.1666666666666796E-3</v>
      </c>
      <c r="K59" s="45"/>
      <c r="L59" s="5" t="s">
        <v>16</v>
      </c>
      <c r="M59" s="1" t="s">
        <v>189</v>
      </c>
      <c r="N59" s="103" t="s">
        <v>188</v>
      </c>
      <c r="O59" s="1" t="s">
        <v>240</v>
      </c>
    </row>
    <row r="60" spans="1:19">
      <c r="A60" s="1" t="s">
        <v>9</v>
      </c>
      <c r="B60" s="1" t="s">
        <v>243</v>
      </c>
      <c r="C60" s="1" t="s">
        <v>18</v>
      </c>
      <c r="D60" s="7">
        <v>44639</v>
      </c>
      <c r="E60" s="18">
        <v>0.20833333333333334</v>
      </c>
      <c r="F60" s="91">
        <v>0.2013888888888889</v>
      </c>
      <c r="G60" s="91">
        <v>0.21041666666666667</v>
      </c>
      <c r="H60" s="91">
        <v>0.28125</v>
      </c>
      <c r="I60" s="90">
        <f t="shared" si="1"/>
        <v>7.0833333333333331E-2</v>
      </c>
      <c r="J60" s="90">
        <f>Tabla4[[#This Row],[Planned Time]]-Tabla4[[#This Row],[Arrival time]]</f>
        <v>6.9444444444444475E-3</v>
      </c>
      <c r="K60" s="45"/>
      <c r="L60" s="5" t="s">
        <v>16</v>
      </c>
      <c r="M60" s="1" t="s">
        <v>191</v>
      </c>
      <c r="N60" s="103" t="s">
        <v>190</v>
      </c>
      <c r="O60" s="1" t="s">
        <v>30</v>
      </c>
    </row>
    <row r="61" spans="1:19">
      <c r="A61" s="1" t="s">
        <v>9</v>
      </c>
      <c r="B61" s="1" t="s">
        <v>302</v>
      </c>
      <c r="C61" s="1" t="s">
        <v>18</v>
      </c>
      <c r="D61" s="7">
        <v>44642</v>
      </c>
      <c r="E61" s="18">
        <v>0.22916666666666666</v>
      </c>
      <c r="F61" s="91">
        <v>0.23472222222222222</v>
      </c>
      <c r="G61" s="91">
        <v>0.24374999999999999</v>
      </c>
      <c r="H61" s="91">
        <v>0.30902777777777779</v>
      </c>
      <c r="I61" s="90">
        <f t="shared" si="1"/>
        <v>6.5277777777777796E-2</v>
      </c>
      <c r="J61" s="90">
        <f>Tabla4[[#This Row],[Planned Time]]-Tabla4[[#This Row],[Arrival time]]</f>
        <v>-5.5555555555555636E-3</v>
      </c>
      <c r="K61" s="45"/>
      <c r="L61" s="5" t="s">
        <v>16</v>
      </c>
      <c r="M61" s="100" t="s">
        <v>248</v>
      </c>
      <c r="N61" s="103" t="s">
        <v>249</v>
      </c>
      <c r="O61" s="1" t="s">
        <v>252</v>
      </c>
    </row>
    <row r="62" spans="1:19">
      <c r="A62" s="1" t="s">
        <v>303</v>
      </c>
      <c r="B62" s="1" t="s">
        <v>304</v>
      </c>
      <c r="C62" s="1" t="s">
        <v>18</v>
      </c>
      <c r="D62" s="7">
        <v>44644</v>
      </c>
      <c r="E62" s="18">
        <v>0.20833333333333334</v>
      </c>
      <c r="F62" s="91">
        <v>0.24166666666666667</v>
      </c>
      <c r="G62" s="91">
        <v>0.24305555555555555</v>
      </c>
      <c r="H62" s="91">
        <v>0.26805555555555555</v>
      </c>
      <c r="I62" s="90">
        <f t="shared" si="1"/>
        <v>2.4999999999999994E-2</v>
      </c>
      <c r="J62" s="90">
        <f>Tabla4[[#This Row],[Planned Time]]-Tabla4[[#This Row],[Arrival time]]</f>
        <v>-3.3333333333333326E-2</v>
      </c>
      <c r="K62" s="45"/>
      <c r="L62" s="5" t="s">
        <v>16</v>
      </c>
      <c r="M62" s="1" t="s">
        <v>195</v>
      </c>
      <c r="N62" s="103" t="s">
        <v>192</v>
      </c>
      <c r="O62" s="1" t="s">
        <v>30</v>
      </c>
    </row>
    <row r="63" spans="1:19" hidden="1">
      <c r="A63" s="1" t="s">
        <v>20</v>
      </c>
      <c r="B63" s="1" t="s">
        <v>20</v>
      </c>
      <c r="C63" s="1" t="s">
        <v>18</v>
      </c>
      <c r="D63" s="7">
        <v>44644</v>
      </c>
      <c r="E63" s="18">
        <v>0.1875</v>
      </c>
      <c r="F63" s="92"/>
      <c r="G63" s="92"/>
      <c r="H63" s="92"/>
      <c r="I63" s="93"/>
      <c r="J63" s="92"/>
      <c r="K63" s="45"/>
      <c r="L63" s="1" t="s">
        <v>31</v>
      </c>
      <c r="M63" s="1" t="s">
        <v>194</v>
      </c>
      <c r="N63" s="10" t="s">
        <v>193</v>
      </c>
      <c r="O63" s="1" t="s">
        <v>30</v>
      </c>
    </row>
    <row r="64" spans="1:19">
      <c r="A64" s="1" t="s">
        <v>303</v>
      </c>
      <c r="B64" s="1" t="s">
        <v>305</v>
      </c>
      <c r="C64" s="1" t="s">
        <v>18</v>
      </c>
      <c r="D64" s="7">
        <v>44646</v>
      </c>
      <c r="E64" s="18">
        <v>0.22916666666666666</v>
      </c>
      <c r="F64" s="91">
        <v>0.22916666666666666</v>
      </c>
      <c r="G64" s="91">
        <v>0.24861111111111112</v>
      </c>
      <c r="H64" s="91">
        <v>0.28333333333333333</v>
      </c>
      <c r="I64" s="90">
        <f>H64-G64</f>
        <v>3.472222222222221E-2</v>
      </c>
      <c r="J64" s="90">
        <f>Tabla4[[#This Row],[Planned Time]]-Tabla4[[#This Row],[Arrival time]]</f>
        <v>0</v>
      </c>
      <c r="K64" s="45"/>
      <c r="L64" s="5" t="s">
        <v>16</v>
      </c>
      <c r="M64" s="1" t="s">
        <v>197</v>
      </c>
      <c r="N64" s="105" t="s">
        <v>196</v>
      </c>
      <c r="O64" s="1" t="s">
        <v>251</v>
      </c>
    </row>
    <row r="65" spans="1:15">
      <c r="A65" s="1" t="s">
        <v>307</v>
      </c>
      <c r="B65" s="1" t="s">
        <v>306</v>
      </c>
      <c r="C65" s="1" t="s">
        <v>18</v>
      </c>
      <c r="D65" s="7">
        <v>44649</v>
      </c>
      <c r="E65" s="18">
        <v>0.22916666666666666</v>
      </c>
      <c r="F65" s="91">
        <v>0.22916666666666666</v>
      </c>
      <c r="G65" s="91">
        <v>0.24374999999999999</v>
      </c>
      <c r="H65" s="91">
        <v>0.42083333333333334</v>
      </c>
      <c r="I65" s="90">
        <f>H65-G65</f>
        <v>0.17708333333333334</v>
      </c>
      <c r="J65" s="90">
        <f>Tabla4[[#This Row],[Planned Time]]-Tabla4[[#This Row],[Arrival time]]</f>
        <v>0</v>
      </c>
      <c r="K65" s="45"/>
      <c r="L65" s="5" t="s">
        <v>16</v>
      </c>
      <c r="M65" s="1" t="s">
        <v>254</v>
      </c>
      <c r="N65" s="104" t="s">
        <v>309</v>
      </c>
    </row>
    <row r="66" spans="1:15" hidden="1">
      <c r="A66" s="1" t="s">
        <v>20</v>
      </c>
      <c r="B66" s="1" t="s">
        <v>20</v>
      </c>
      <c r="C66" s="1" t="s">
        <v>18</v>
      </c>
      <c r="D66" s="7">
        <v>44650</v>
      </c>
      <c r="E66" s="18">
        <v>0.22916666666666666</v>
      </c>
      <c r="F66" s="92"/>
      <c r="G66" s="92"/>
      <c r="H66" s="92"/>
      <c r="I66" s="93"/>
      <c r="J66" s="92"/>
      <c r="K66" s="45"/>
      <c r="L66" s="1" t="s">
        <v>31</v>
      </c>
      <c r="M66" s="1" t="s">
        <v>308</v>
      </c>
      <c r="N66" s="10" t="s">
        <v>253</v>
      </c>
    </row>
    <row r="67" spans="1:15" hidden="1">
      <c r="A67" s="1" t="s">
        <v>9</v>
      </c>
      <c r="B67" s="1" t="s">
        <v>19</v>
      </c>
      <c r="C67" s="1" t="s">
        <v>18</v>
      </c>
      <c r="D67" s="7">
        <v>44656</v>
      </c>
      <c r="E67" s="18">
        <v>0.20833333333333334</v>
      </c>
      <c r="F67" s="91">
        <v>0.21180555555555555</v>
      </c>
      <c r="G67" s="91">
        <v>0.22013888888888888</v>
      </c>
      <c r="H67" s="91">
        <v>0.28888888888888886</v>
      </c>
      <c r="I67" s="90">
        <f>H67-G67</f>
        <v>6.8749999999999978E-2</v>
      </c>
      <c r="J67" s="90">
        <f>Tabla4[[#This Row],[Planned Time]]-Tabla4[[#This Row],[Arrival time]]</f>
        <v>-3.4722222222222099E-3</v>
      </c>
      <c r="K67" s="45"/>
      <c r="L67" s="1" t="s">
        <v>16</v>
      </c>
      <c r="M67" s="1" t="s">
        <v>257</v>
      </c>
      <c r="N67" s="104" t="s">
        <v>256</v>
      </c>
    </row>
    <row r="68" spans="1:15" hidden="1">
      <c r="A68" s="1" t="s">
        <v>303</v>
      </c>
      <c r="B68" s="1" t="s">
        <v>329</v>
      </c>
      <c r="C68" s="1" t="s">
        <v>18</v>
      </c>
      <c r="D68" s="7">
        <v>44658</v>
      </c>
      <c r="E68" s="18">
        <v>0.20833333333333334</v>
      </c>
      <c r="F68" s="92"/>
      <c r="G68" s="92"/>
      <c r="H68" s="92"/>
      <c r="I68" s="93"/>
      <c r="J68" s="92"/>
      <c r="K68" s="45"/>
      <c r="L68" s="1" t="s">
        <v>31</v>
      </c>
      <c r="M68" s="1" t="s">
        <v>258</v>
      </c>
      <c r="N68" s="10" t="s">
        <v>259</v>
      </c>
    </row>
    <row r="69" spans="1:15" hidden="1">
      <c r="A69" s="1" t="s">
        <v>321</v>
      </c>
      <c r="B69" s="1" t="s">
        <v>328</v>
      </c>
      <c r="C69" s="1" t="s">
        <v>18</v>
      </c>
      <c r="D69" s="7">
        <v>44658</v>
      </c>
      <c r="E69" s="18">
        <v>0.20833333333333334</v>
      </c>
      <c r="F69" s="92"/>
      <c r="G69" s="92"/>
      <c r="H69" s="92"/>
      <c r="I69" s="93"/>
      <c r="J69" s="92"/>
      <c r="K69" s="45"/>
      <c r="L69" s="1" t="s">
        <v>31</v>
      </c>
      <c r="M69" s="1" t="s">
        <v>263</v>
      </c>
      <c r="N69" s="10" t="s">
        <v>260</v>
      </c>
    </row>
    <row r="70" spans="1:15" hidden="1">
      <c r="A70" s="1" t="s">
        <v>321</v>
      </c>
      <c r="B70" s="1" t="s">
        <v>327</v>
      </c>
      <c r="C70" s="1" t="s">
        <v>18</v>
      </c>
      <c r="D70" s="7">
        <v>44658</v>
      </c>
      <c r="E70" s="18">
        <v>0.20833333333333334</v>
      </c>
      <c r="F70" s="92"/>
      <c r="G70" s="92"/>
      <c r="H70" s="92"/>
      <c r="I70" s="93"/>
      <c r="J70" s="92"/>
      <c r="K70" s="45"/>
      <c r="L70" s="1" t="s">
        <v>31</v>
      </c>
      <c r="M70" s="1" t="s">
        <v>262</v>
      </c>
      <c r="N70" s="10" t="s">
        <v>261</v>
      </c>
    </row>
    <row r="71" spans="1:15" hidden="1">
      <c r="A71" s="1" t="s">
        <v>174</v>
      </c>
      <c r="B71" s="1" t="s">
        <v>174</v>
      </c>
      <c r="C71" s="1" t="s">
        <v>18</v>
      </c>
      <c r="D71" s="7">
        <v>44660</v>
      </c>
      <c r="E71" s="18">
        <v>0.33333333333333331</v>
      </c>
      <c r="F71" s="91">
        <v>0.33819444444444446</v>
      </c>
      <c r="G71" s="91">
        <v>0.34791666666666665</v>
      </c>
      <c r="H71" s="91">
        <v>0.53472222222222221</v>
      </c>
      <c r="I71" s="90">
        <f>H71-G71</f>
        <v>0.18680555555555556</v>
      </c>
      <c r="J71" s="90">
        <f>Tabla4[[#This Row],[Planned Time]]-Tabla4[[#This Row],[Arrival time]]</f>
        <v>-4.8611111111111494E-3</v>
      </c>
      <c r="K71" s="45"/>
      <c r="L71" s="1" t="s">
        <v>16</v>
      </c>
      <c r="M71" s="1" t="s">
        <v>265</v>
      </c>
      <c r="N71" s="10" t="s">
        <v>264</v>
      </c>
      <c r="O71" s="1" t="s">
        <v>335</v>
      </c>
    </row>
    <row r="72" spans="1:15" hidden="1">
      <c r="A72" s="1" t="s">
        <v>174</v>
      </c>
      <c r="B72" s="1" t="s">
        <v>174</v>
      </c>
      <c r="C72" s="1" t="s">
        <v>18</v>
      </c>
      <c r="D72" s="7">
        <v>44660</v>
      </c>
      <c r="E72" s="18">
        <v>0.33333333333333331</v>
      </c>
      <c r="F72" s="99"/>
      <c r="G72" s="92"/>
      <c r="H72" s="92"/>
      <c r="I72" s="93"/>
      <c r="J72" s="92"/>
      <c r="K72" s="45"/>
      <c r="L72" s="1" t="s">
        <v>16</v>
      </c>
      <c r="M72" s="1" t="s">
        <v>267</v>
      </c>
      <c r="N72" s="10" t="s">
        <v>268</v>
      </c>
      <c r="O72" s="1" t="s">
        <v>335</v>
      </c>
    </row>
    <row r="73" spans="1:15" hidden="1">
      <c r="A73" s="1" t="s">
        <v>174</v>
      </c>
      <c r="B73" s="1" t="s">
        <v>174</v>
      </c>
      <c r="C73" s="1" t="s">
        <v>18</v>
      </c>
      <c r="D73" s="7">
        <v>44660</v>
      </c>
      <c r="E73" s="18">
        <v>0.33333333333333331</v>
      </c>
      <c r="F73" s="99"/>
      <c r="G73" s="92"/>
      <c r="H73" s="92"/>
      <c r="I73" s="93"/>
      <c r="J73" s="92"/>
      <c r="K73" s="45"/>
      <c r="L73" s="1" t="s">
        <v>16</v>
      </c>
      <c r="M73" s="1" t="s">
        <v>269</v>
      </c>
      <c r="N73" s="10" t="s">
        <v>270</v>
      </c>
      <c r="O73" s="1" t="s">
        <v>335</v>
      </c>
    </row>
    <row r="74" spans="1:15" hidden="1">
      <c r="A74" s="1" t="s">
        <v>174</v>
      </c>
      <c r="B74" s="1" t="s">
        <v>174</v>
      </c>
      <c r="C74" s="1" t="s">
        <v>18</v>
      </c>
      <c r="D74" s="7">
        <v>44660</v>
      </c>
      <c r="E74" s="18">
        <v>0.33333333333333331</v>
      </c>
      <c r="F74" s="99"/>
      <c r="G74" s="92"/>
      <c r="H74" s="92"/>
      <c r="I74" s="93"/>
      <c r="J74" s="92"/>
      <c r="K74" s="45"/>
      <c r="L74" s="1" t="s">
        <v>16</v>
      </c>
      <c r="M74" s="100" t="s">
        <v>271</v>
      </c>
      <c r="N74" s="10" t="s">
        <v>272</v>
      </c>
      <c r="O74" s="1" t="s">
        <v>335</v>
      </c>
    </row>
    <row r="75" spans="1:15" hidden="1">
      <c r="A75" s="1" t="s">
        <v>303</v>
      </c>
      <c r="B75" s="1" t="s">
        <v>325</v>
      </c>
      <c r="C75" s="1" t="s">
        <v>18</v>
      </c>
      <c r="D75" s="7">
        <v>44663</v>
      </c>
      <c r="E75" s="18">
        <v>0.20833333333333334</v>
      </c>
      <c r="F75" s="91">
        <v>0.2076388888888889</v>
      </c>
      <c r="G75" s="91">
        <v>0.21249999999999999</v>
      </c>
      <c r="H75" s="91">
        <v>0.39166666666666666</v>
      </c>
      <c r="I75" s="90">
        <f>H75-G75</f>
        <v>0.17916666666666667</v>
      </c>
      <c r="J75" s="90">
        <f>Tabla4[[#This Row],[Planned Time]]-Tabla4[[#This Row],[Arrival time]]</f>
        <v>6.9444444444444198E-4</v>
      </c>
      <c r="K75" s="45"/>
      <c r="L75" s="1" t="s">
        <v>16</v>
      </c>
      <c r="M75" s="1" t="s">
        <v>277</v>
      </c>
      <c r="N75" s="10" t="s">
        <v>273</v>
      </c>
    </row>
    <row r="76" spans="1:15" hidden="1">
      <c r="A76" s="1" t="s">
        <v>321</v>
      </c>
      <c r="B76" s="1" t="s">
        <v>323</v>
      </c>
      <c r="C76" s="1" t="s">
        <v>18</v>
      </c>
      <c r="D76" s="7">
        <v>44663</v>
      </c>
      <c r="E76" s="18">
        <v>0.20833333333333334</v>
      </c>
      <c r="F76" s="99"/>
      <c r="G76" s="92"/>
      <c r="H76" s="92"/>
      <c r="I76" s="93"/>
      <c r="J76" s="92"/>
      <c r="K76" s="45"/>
      <c r="L76" s="1" t="s">
        <v>16</v>
      </c>
      <c r="M76" s="1" t="s">
        <v>278</v>
      </c>
      <c r="N76" s="10" t="s">
        <v>274</v>
      </c>
    </row>
    <row r="77" spans="1:15" hidden="1">
      <c r="A77" s="1" t="s">
        <v>321</v>
      </c>
      <c r="B77" s="1" t="s">
        <v>322</v>
      </c>
      <c r="C77" s="1" t="s">
        <v>18</v>
      </c>
      <c r="D77" s="7">
        <v>44663</v>
      </c>
      <c r="E77" s="18">
        <v>0.20833333333333334</v>
      </c>
      <c r="F77" s="99"/>
      <c r="G77" s="92"/>
      <c r="H77" s="92"/>
      <c r="I77" s="93"/>
      <c r="J77" s="92"/>
      <c r="K77" s="45"/>
      <c r="L77" s="1" t="s">
        <v>16</v>
      </c>
      <c r="M77" s="5" t="s">
        <v>279</v>
      </c>
      <c r="N77" s="10" t="s">
        <v>275</v>
      </c>
    </row>
    <row r="78" spans="1:15" hidden="1">
      <c r="A78" s="1" t="s">
        <v>321</v>
      </c>
      <c r="B78" s="1" t="s">
        <v>324</v>
      </c>
      <c r="C78" s="1" t="s">
        <v>18</v>
      </c>
      <c r="D78" s="7">
        <v>44663</v>
      </c>
      <c r="E78" s="18">
        <v>0.20833333333333334</v>
      </c>
      <c r="F78" s="99"/>
      <c r="G78" s="92"/>
      <c r="H78" s="92"/>
      <c r="I78" s="93"/>
      <c r="J78" s="92"/>
      <c r="K78" s="45"/>
      <c r="L78" s="1" t="s">
        <v>16</v>
      </c>
      <c r="M78" s="101" t="s">
        <v>280</v>
      </c>
      <c r="N78" s="10" t="s">
        <v>276</v>
      </c>
    </row>
    <row r="79" spans="1:15" hidden="1">
      <c r="A79" s="1" t="s">
        <v>303</v>
      </c>
      <c r="B79" s="1" t="s">
        <v>326</v>
      </c>
      <c r="C79" s="1" t="s">
        <v>18</v>
      </c>
      <c r="D79" s="7">
        <v>44665</v>
      </c>
      <c r="E79" s="18">
        <v>0.1875</v>
      </c>
      <c r="F79" s="91">
        <v>0.18194444444444444</v>
      </c>
      <c r="G79" s="91">
        <v>0.18888888888888888</v>
      </c>
      <c r="H79" s="91">
        <v>0.29722222222222222</v>
      </c>
      <c r="I79" s="90">
        <f>H79-G79</f>
        <v>0.10833333333333334</v>
      </c>
      <c r="J79" s="90">
        <f>Tabla4[[#This Row],[Planned Time]]-Tabla4[[#This Row],[Arrival time]]</f>
        <v>5.5555555555555636E-3</v>
      </c>
      <c r="K79" s="45"/>
      <c r="L79" s="1" t="s">
        <v>16</v>
      </c>
      <c r="M79" s="1" t="s">
        <v>281</v>
      </c>
      <c r="N79" s="102">
        <v>101</v>
      </c>
    </row>
    <row r="80" spans="1:15" hidden="1">
      <c r="A80" s="1" t="s">
        <v>303</v>
      </c>
      <c r="B80" s="1" t="s">
        <v>330</v>
      </c>
      <c r="C80" s="1" t="s">
        <v>18</v>
      </c>
      <c r="D80" s="7">
        <v>44667</v>
      </c>
      <c r="E80" s="18">
        <v>0.22916666666666666</v>
      </c>
      <c r="F80" s="91">
        <v>0.21875</v>
      </c>
      <c r="G80" s="91">
        <v>0.23402777777777778</v>
      </c>
      <c r="H80" s="91">
        <v>0.33888888888888891</v>
      </c>
      <c r="I80" s="90">
        <f>H80-G80</f>
        <v>0.10486111111111113</v>
      </c>
      <c r="J80" s="90">
        <f>Tabla4[[#This Row],[Planned Time]]-Tabla4[[#This Row],[Arrival time]]</f>
        <v>1.0416666666666657E-2</v>
      </c>
      <c r="K80" s="45"/>
      <c r="L80" s="1" t="s">
        <v>16</v>
      </c>
      <c r="M80" s="101" t="s">
        <v>283</v>
      </c>
      <c r="N80" s="10" t="s">
        <v>282</v>
      </c>
    </row>
    <row r="81" spans="1:14" hidden="1">
      <c r="A81" s="1" t="s">
        <v>320</v>
      </c>
      <c r="B81" s="1" t="s">
        <v>319</v>
      </c>
      <c r="C81" s="1" t="s">
        <v>18</v>
      </c>
      <c r="D81" s="7">
        <v>44670</v>
      </c>
      <c r="E81" s="18">
        <v>0.20833333333333334</v>
      </c>
      <c r="F81" s="91">
        <v>0.21111111111111111</v>
      </c>
      <c r="G81" s="91">
        <v>0.21527777777777779</v>
      </c>
      <c r="H81" s="91">
        <v>0.30277777777777776</v>
      </c>
      <c r="I81" s="90">
        <f>H81-G81</f>
        <v>8.7499999999999967E-2</v>
      </c>
      <c r="J81" s="90">
        <f>Tabla4[[#This Row],[Planned Time]]-Tabla4[[#This Row],[Arrival time]]</f>
        <v>-2.7777777777777679E-3</v>
      </c>
      <c r="K81" s="7">
        <v>44651</v>
      </c>
      <c r="L81" s="1" t="s">
        <v>16</v>
      </c>
      <c r="M81" s="1" t="s">
        <v>266</v>
      </c>
      <c r="N81" s="10" t="s">
        <v>255</v>
      </c>
    </row>
    <row r="82" spans="1:14" hidden="1">
      <c r="A82" s="1" t="s">
        <v>174</v>
      </c>
      <c r="B82" s="1" t="s">
        <v>174</v>
      </c>
      <c r="C82" s="1" t="s">
        <v>18</v>
      </c>
      <c r="D82" s="7">
        <v>44670</v>
      </c>
      <c r="E82" s="18">
        <v>0.20833333333333334</v>
      </c>
      <c r="F82" s="92"/>
      <c r="G82" s="92"/>
      <c r="H82" s="92"/>
      <c r="I82" s="93"/>
      <c r="J82" s="92"/>
      <c r="K82" s="45"/>
      <c r="L82" s="1" t="s">
        <v>31</v>
      </c>
      <c r="M82" s="1" t="s">
        <v>284</v>
      </c>
      <c r="N82" s="102">
        <v>104</v>
      </c>
    </row>
    <row r="83" spans="1:14" hidden="1">
      <c r="A83" s="1" t="s">
        <v>333</v>
      </c>
      <c r="B83" s="1" t="s">
        <v>332</v>
      </c>
      <c r="C83" s="1" t="s">
        <v>18</v>
      </c>
      <c r="D83" s="7">
        <v>44672</v>
      </c>
      <c r="E83" s="18">
        <v>0.33333333333333331</v>
      </c>
      <c r="F83" s="91">
        <v>0.33124999999999999</v>
      </c>
      <c r="G83" s="91">
        <v>0.3576388888888889</v>
      </c>
      <c r="H83" s="91">
        <v>0.54722222222222228</v>
      </c>
      <c r="I83" s="90">
        <f>H83-G83</f>
        <v>0.18958333333333338</v>
      </c>
      <c r="J83" s="90">
        <f>Tabla4[[#This Row],[Planned Time]]-Tabla4[[#This Row],[Arrival time]]</f>
        <v>2.0833333333333259E-3</v>
      </c>
      <c r="K83" s="45"/>
      <c r="L83" s="1" t="s">
        <v>16</v>
      </c>
      <c r="M83" s="1" t="s">
        <v>313</v>
      </c>
      <c r="N83" s="10" t="s">
        <v>316</v>
      </c>
    </row>
    <row r="84" spans="1:14" hidden="1">
      <c r="A84" s="1" t="s">
        <v>321</v>
      </c>
      <c r="B84" s="1" t="s">
        <v>334</v>
      </c>
      <c r="C84" s="1" t="s">
        <v>18</v>
      </c>
      <c r="D84" s="7">
        <v>44672</v>
      </c>
      <c r="E84" s="18">
        <v>0.33333333333333331</v>
      </c>
      <c r="F84" s="99"/>
      <c r="G84" s="92"/>
      <c r="H84" s="92"/>
      <c r="I84" s="93"/>
      <c r="J84" s="92"/>
      <c r="K84" s="45"/>
      <c r="L84" s="1" t="s">
        <v>16</v>
      </c>
      <c r="M84" s="1" t="s">
        <v>314</v>
      </c>
      <c r="N84" s="10" t="s">
        <v>317</v>
      </c>
    </row>
    <row r="85" spans="1:14" hidden="1">
      <c r="A85" s="1" t="s">
        <v>321</v>
      </c>
      <c r="B85" s="1" t="s">
        <v>331</v>
      </c>
      <c r="C85" s="1" t="s">
        <v>18</v>
      </c>
      <c r="D85" s="7">
        <v>44672</v>
      </c>
      <c r="E85" s="18">
        <v>0.33333333333333331</v>
      </c>
      <c r="F85" s="99"/>
      <c r="G85" s="93"/>
      <c r="H85" s="93"/>
      <c r="I85" s="93"/>
      <c r="J85" s="92"/>
      <c r="K85" s="45"/>
      <c r="L85" s="1" t="s">
        <v>16</v>
      </c>
      <c r="M85" s="1" t="s">
        <v>315</v>
      </c>
      <c r="N85" s="10" t="s">
        <v>318</v>
      </c>
    </row>
    <row r="86" spans="1:14" hidden="1">
      <c r="A86" s="1" t="s">
        <v>174</v>
      </c>
      <c r="B86" s="1" t="s">
        <v>174</v>
      </c>
      <c r="C86" s="1" t="s">
        <v>18</v>
      </c>
      <c r="D86" s="7">
        <v>44672</v>
      </c>
      <c r="E86" s="18">
        <v>0.20833333333333334</v>
      </c>
      <c r="F86" s="92"/>
      <c r="G86" s="92"/>
      <c r="H86" s="92"/>
      <c r="I86" s="93"/>
      <c r="J86" s="92"/>
      <c r="K86" s="45"/>
      <c r="L86" s="1" t="s">
        <v>31</v>
      </c>
      <c r="M86" s="1" t="s">
        <v>286</v>
      </c>
      <c r="N86" s="10" t="s">
        <v>285</v>
      </c>
    </row>
    <row r="87" spans="1:14" hidden="1">
      <c r="A87" s="1" t="s">
        <v>174</v>
      </c>
      <c r="B87" s="1" t="s">
        <v>174</v>
      </c>
      <c r="C87" s="1" t="s">
        <v>18</v>
      </c>
      <c r="D87" s="7">
        <v>44672</v>
      </c>
      <c r="E87" s="18">
        <v>0.20833333333333334</v>
      </c>
      <c r="F87" s="99"/>
      <c r="G87" s="92"/>
      <c r="H87" s="92"/>
      <c r="I87" s="93"/>
      <c r="J87" s="92"/>
      <c r="K87" s="45"/>
      <c r="L87" s="1" t="s">
        <v>31</v>
      </c>
      <c r="M87" s="1" t="s">
        <v>288</v>
      </c>
      <c r="N87" s="10" t="s">
        <v>287</v>
      </c>
    </row>
    <row r="88" spans="1:14" hidden="1">
      <c r="A88" s="1" t="s">
        <v>174</v>
      </c>
      <c r="B88" s="1" t="s">
        <v>174</v>
      </c>
      <c r="C88" s="1" t="s">
        <v>18</v>
      </c>
      <c r="D88" s="7">
        <v>44674</v>
      </c>
      <c r="E88" s="18">
        <v>0.22916666666666666</v>
      </c>
      <c r="F88" s="92"/>
      <c r="G88" s="92"/>
      <c r="H88" s="92"/>
      <c r="I88" s="93"/>
      <c r="J88" s="92"/>
      <c r="K88" s="45"/>
      <c r="L88" s="1" t="s">
        <v>31</v>
      </c>
      <c r="M88" s="100" t="s">
        <v>291</v>
      </c>
      <c r="N88" s="10" t="s">
        <v>289</v>
      </c>
    </row>
    <row r="89" spans="1:14" hidden="1">
      <c r="A89" s="1" t="s">
        <v>174</v>
      </c>
      <c r="B89" s="1" t="s">
        <v>174</v>
      </c>
      <c r="C89" s="1" t="s">
        <v>18</v>
      </c>
      <c r="D89" s="7">
        <v>44674</v>
      </c>
      <c r="E89" s="18">
        <v>0.22916666666666666</v>
      </c>
      <c r="F89" s="92"/>
      <c r="G89" s="92"/>
      <c r="H89" s="92"/>
      <c r="I89" s="93"/>
      <c r="J89" s="92"/>
      <c r="K89" s="45"/>
      <c r="L89" s="1" t="s">
        <v>31</v>
      </c>
      <c r="M89" s="100" t="s">
        <v>292</v>
      </c>
      <c r="N89" s="10" t="s">
        <v>290</v>
      </c>
    </row>
    <row r="90" spans="1:14" hidden="1">
      <c r="A90" s="1" t="s">
        <v>174</v>
      </c>
      <c r="B90" s="1" t="s">
        <v>174</v>
      </c>
      <c r="C90" s="1" t="s">
        <v>18</v>
      </c>
      <c r="D90" s="7">
        <v>44677</v>
      </c>
      <c r="E90" s="18">
        <v>0.20833333333333334</v>
      </c>
      <c r="F90" s="92"/>
      <c r="G90" s="92"/>
      <c r="H90" s="92"/>
      <c r="I90" s="93"/>
      <c r="J90" s="92"/>
      <c r="K90" s="45"/>
      <c r="L90" s="1" t="s">
        <v>31</v>
      </c>
      <c r="M90" s="1" t="s">
        <v>296</v>
      </c>
      <c r="N90" s="10" t="s">
        <v>293</v>
      </c>
    </row>
    <row r="91" spans="1:14" hidden="1">
      <c r="A91" s="1" t="s">
        <v>174</v>
      </c>
      <c r="B91" s="1" t="s">
        <v>174</v>
      </c>
      <c r="C91" s="1" t="s">
        <v>18</v>
      </c>
      <c r="D91" s="7">
        <v>44677</v>
      </c>
      <c r="E91" s="18">
        <v>0.20833333333333334</v>
      </c>
      <c r="F91" s="92"/>
      <c r="G91" s="92"/>
      <c r="H91" s="92"/>
      <c r="I91" s="93"/>
      <c r="J91" s="92"/>
      <c r="K91" s="45"/>
      <c r="L91" s="1" t="s">
        <v>31</v>
      </c>
      <c r="M91" s="1" t="s">
        <v>297</v>
      </c>
      <c r="N91" s="10" t="s">
        <v>312</v>
      </c>
    </row>
    <row r="92" spans="1:14" hidden="1">
      <c r="A92" s="1" t="s">
        <v>174</v>
      </c>
      <c r="B92" s="1" t="s">
        <v>174</v>
      </c>
      <c r="C92" s="1" t="s">
        <v>18</v>
      </c>
      <c r="D92" s="7">
        <v>44677</v>
      </c>
      <c r="E92" s="18">
        <v>0.20833333333333334</v>
      </c>
      <c r="F92" s="99"/>
      <c r="G92" s="92"/>
      <c r="H92" s="92"/>
      <c r="I92" s="93"/>
      <c r="J92" s="92"/>
      <c r="K92" s="45"/>
      <c r="L92" s="1" t="s">
        <v>31</v>
      </c>
      <c r="M92" s="1" t="s">
        <v>298</v>
      </c>
      <c r="N92" s="10" t="s">
        <v>294</v>
      </c>
    </row>
    <row r="93" spans="1:14" hidden="1">
      <c r="A93" s="1" t="s">
        <v>174</v>
      </c>
      <c r="B93" s="1" t="s">
        <v>174</v>
      </c>
      <c r="C93" s="1" t="s">
        <v>18</v>
      </c>
      <c r="D93" s="7">
        <v>44677</v>
      </c>
      <c r="E93" s="18">
        <v>0.20833333333333334</v>
      </c>
      <c r="F93" s="99"/>
      <c r="G93" s="92"/>
      <c r="H93" s="92"/>
      <c r="I93" s="93"/>
      <c r="J93" s="92"/>
      <c r="K93" s="45"/>
      <c r="L93" s="1" t="s">
        <v>31</v>
      </c>
      <c r="M93" s="1" t="s">
        <v>299</v>
      </c>
      <c r="N93" s="10" t="s">
        <v>295</v>
      </c>
    </row>
    <row r="94" spans="1:14" hidden="1">
      <c r="A94" s="1" t="s">
        <v>321</v>
      </c>
      <c r="B94" s="1" t="s">
        <v>331</v>
      </c>
      <c r="C94" s="1" t="s">
        <v>18</v>
      </c>
      <c r="D94" s="7">
        <v>44679</v>
      </c>
      <c r="E94" s="18">
        <v>0.22916666666666666</v>
      </c>
      <c r="F94" s="99"/>
      <c r="G94" s="93"/>
      <c r="H94" s="93"/>
      <c r="I94" s="93"/>
      <c r="J94" s="92"/>
      <c r="K94" s="45"/>
      <c r="L94" s="1" t="s">
        <v>31</v>
      </c>
      <c r="M94" s="1" t="s">
        <v>301</v>
      </c>
      <c r="N94" s="10" t="s">
        <v>300</v>
      </c>
    </row>
    <row r="95" spans="1:14" hidden="1">
      <c r="D95" s="7"/>
      <c r="E95" s="42"/>
      <c r="F95" s="92"/>
      <c r="G95" s="92"/>
      <c r="H95" s="92"/>
      <c r="I95" s="93"/>
      <c r="J95" s="92"/>
      <c r="K95" s="45"/>
    </row>
    <row r="96" spans="1:14" hidden="1">
      <c r="D96" s="7"/>
      <c r="E96" s="42"/>
      <c r="F96" s="92"/>
      <c r="G96" s="91"/>
      <c r="H96" s="91"/>
      <c r="I96" s="90"/>
      <c r="J96" s="90"/>
      <c r="K96" s="31"/>
    </row>
    <row r="97" spans="4:11" hidden="1">
      <c r="D97" s="7"/>
      <c r="E97" s="42"/>
      <c r="F97" s="92"/>
      <c r="G97" s="91"/>
      <c r="H97" s="92"/>
      <c r="I97" s="93"/>
      <c r="J97" s="92"/>
      <c r="K97" s="45"/>
    </row>
    <row r="98" spans="4:11" hidden="1">
      <c r="F98" s="99"/>
      <c r="G98" s="93"/>
      <c r="H98" s="93"/>
      <c r="I98" s="93"/>
      <c r="J98" s="92"/>
      <c r="K98" s="45"/>
    </row>
    <row r="99" spans="4:11" hidden="1">
      <c r="F99" s="99"/>
      <c r="G99" s="93"/>
      <c r="H99" s="93"/>
      <c r="I99" s="93"/>
      <c r="J99" s="92"/>
      <c r="K99" s="45"/>
    </row>
    <row r="100" spans="4:11" hidden="1">
      <c r="F100" s="99"/>
      <c r="G100" s="93"/>
      <c r="H100" s="93"/>
      <c r="I100" s="93"/>
      <c r="J100" s="92"/>
      <c r="K100" s="45"/>
    </row>
    <row r="101" spans="4:11" hidden="1">
      <c r="F101" s="99"/>
      <c r="G101" s="93"/>
      <c r="H101" s="93"/>
      <c r="I101" s="93"/>
      <c r="J101" s="92"/>
      <c r="K101" s="45"/>
    </row>
    <row r="102" spans="4:11" hidden="1">
      <c r="F102" s="99"/>
      <c r="G102" s="93"/>
      <c r="H102" s="93"/>
      <c r="I102" s="93"/>
      <c r="J102" s="92"/>
      <c r="K102" s="45"/>
    </row>
    <row r="103" spans="4:11" hidden="1">
      <c r="F103" s="99"/>
      <c r="G103" s="93"/>
      <c r="H103" s="93"/>
      <c r="I103" s="93"/>
      <c r="J103" s="92"/>
      <c r="K103" s="45"/>
    </row>
    <row r="104" spans="4:11" hidden="1">
      <c r="F104" s="99"/>
      <c r="G104" s="93"/>
      <c r="H104" s="93"/>
      <c r="I104" s="93"/>
      <c r="J104" s="92"/>
      <c r="K104" s="45"/>
    </row>
  </sheetData>
  <sheetProtection selectLockedCells="1" sort="0" autoFilter="0"/>
  <mergeCells count="3">
    <mergeCell ref="A2:C2"/>
    <mergeCell ref="G2:L2"/>
    <mergeCell ref="M2:N2"/>
  </mergeCells>
  <phoneticPr fontId="4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C449-B859-431F-A199-79DAA7DBE578}">
  <dimension ref="A1:D51"/>
  <sheetViews>
    <sheetView workbookViewId="0">
      <selection activeCell="H18" sqref="H18"/>
    </sheetView>
  </sheetViews>
  <sheetFormatPr defaultColWidth="10.90625" defaultRowHeight="14.5"/>
  <cols>
    <col min="1" max="1" width="29.6328125" style="1" bestFit="1" customWidth="1"/>
    <col min="2" max="2" width="12.81640625" style="1" bestFit="1" customWidth="1"/>
    <col min="3" max="3" width="13.81640625" style="17" customWidth="1"/>
    <col min="4" max="4" width="11.26953125" style="4" customWidth="1"/>
  </cols>
  <sheetData>
    <row r="1" spans="1:4">
      <c r="A1" s="19" t="s">
        <v>23</v>
      </c>
      <c r="B1" s="19" t="s">
        <v>24</v>
      </c>
      <c r="C1" s="44" t="s">
        <v>160</v>
      </c>
      <c r="D1" s="20" t="s">
        <v>13</v>
      </c>
    </row>
    <row r="2" spans="1:4">
      <c r="A2" s="22">
        <f>IF(AND(Control!L5="completed", ISERROR(SEARCH("after the previous", Control!E5))), Control!D5, "")</f>
        <v>44490</v>
      </c>
      <c r="B2" s="24">
        <f>IF(A2="", "", Control!E5)</f>
        <v>0.33333333333333331</v>
      </c>
      <c r="C2" s="24">
        <f>IF(A2="", "", Control!F5)</f>
        <v>0.35138888888888886</v>
      </c>
      <c r="D2" s="24">
        <f>IF(A2="", "", Control!G5)</f>
        <v>0.35208333333333336</v>
      </c>
    </row>
    <row r="3" spans="1:4">
      <c r="A3" s="22">
        <f>IF(AND(Control!L6="completed", ISERROR(SEARCH("after the previous", Control!E6))), Control!D6, "")</f>
        <v>44495</v>
      </c>
      <c r="B3" s="24">
        <f>IF(A3="", "", Control!E6)</f>
        <v>4.1666666666666664E-2</v>
      </c>
      <c r="C3" s="24">
        <f>IF(A3="", "", Control!F6)</f>
        <v>2.9861111111111113E-2</v>
      </c>
      <c r="D3" s="24">
        <f>IF(A3="", "", Control!G6)</f>
        <v>3.125E-2</v>
      </c>
    </row>
    <row r="4" spans="1:4">
      <c r="A4" s="22">
        <f>IF(AND(Control!L7="completed", ISERROR(SEARCH("after the previous", Control!E7))), Control!D7, "")</f>
        <v>44496</v>
      </c>
      <c r="B4" s="24">
        <f>IF(A4="", "", Control!E7)</f>
        <v>0.20833333333333334</v>
      </c>
      <c r="C4" s="24">
        <f>IF(A4="", "", Control!F7)</f>
        <v>0.2048611111111111</v>
      </c>
      <c r="D4" s="24">
        <f>IF(A4="", "", Control!G7)</f>
        <v>0.20694444444444443</v>
      </c>
    </row>
    <row r="5" spans="1:4">
      <c r="A5" s="38" t="str">
        <f>IF(AND(Control!L9="completed", ISERROR(SEARCH("after the previous", Control!E9))), Control!D9, "")</f>
        <v>lunes, 12 de enero de 2026</v>
      </c>
      <c r="B5" s="24">
        <f>IF(A5="", "", Control!E9)</f>
        <v>0.29166666666666669</v>
      </c>
      <c r="C5" s="24">
        <f>IF(A5="", "", Control!F9)</f>
        <v>0.28472222222222221</v>
      </c>
      <c r="D5" s="24">
        <f>IF(A5="", "", Control!G9)</f>
        <v>0.29166666666666669</v>
      </c>
    </row>
    <row r="6" spans="1:4">
      <c r="A6" s="38" t="str">
        <f>IF(AND(Control!L10="completed", ISERROR(SEARCH("after the previous", Control!E10))), Control!D10, "")</f>
        <v>miercoles, 14 de enero de 2026</v>
      </c>
      <c r="B6" s="24">
        <f>IF(A6="", "", Control!E10)</f>
        <v>0.16666666666666666</v>
      </c>
      <c r="C6" s="24">
        <f>IF(A6="", "", Control!F10)</f>
        <v>0.18402777777777779</v>
      </c>
      <c r="D6" s="24">
        <f>IF(A6="", "", Control!G10)</f>
        <v>0.18541666666666667</v>
      </c>
    </row>
    <row r="7" spans="1:4">
      <c r="A7" s="38" t="str">
        <f>IF(AND(Control!L11="completed", ISERROR(SEARCH("after the previous", Control!E11))), Control!D11, "")</f>
        <v>jueves, 15 de enero de 2026</v>
      </c>
      <c r="B7" s="24">
        <f>IF(A7="", "", Control!E11)</f>
        <v>0.16666666666666666</v>
      </c>
      <c r="C7" s="24">
        <f>IF(A7="", "", Control!F11)</f>
        <v>0.17569444444444443</v>
      </c>
      <c r="D7" s="24">
        <f>IF(A7="", "", Control!G11)</f>
        <v>0.17569444444444443</v>
      </c>
    </row>
    <row r="8" spans="1:4">
      <c r="A8" s="38" t="str">
        <f>IF(AND(Control!L13="completed", ISERROR(SEARCH("after the previous", Control!E13))), Control!D13, "")</f>
        <v>viernes, 16 de enero de 2026</v>
      </c>
      <c r="B8" s="24">
        <f>IF(A8="", "", Control!E13)</f>
        <v>0.16666666666666666</v>
      </c>
      <c r="C8" s="24">
        <f>IF(A8="", "", Control!F13)</f>
        <v>0.16875000000000001</v>
      </c>
      <c r="D8" s="24">
        <f>IF(A8="", "", Control!G13)</f>
        <v>0.17291666666666666</v>
      </c>
    </row>
    <row r="9" spans="1:4">
      <c r="A9" s="38" t="str">
        <f>IF(AND(Control!L14="completed", ISERROR(SEARCH("after the previous", Control!E14))), Control!D14, "")</f>
        <v>lunes, 19 de enero de 2026</v>
      </c>
      <c r="B9" s="24">
        <f>IF(A9="", "", Control!E14)</f>
        <v>0.20833333333333334</v>
      </c>
      <c r="C9" s="24">
        <f>IF(A9="", "", Control!F14)</f>
        <v>0.20902777777777778</v>
      </c>
      <c r="D9" s="24">
        <f>IF(A9="", "", Control!G14)</f>
        <v>0.21666666666666667</v>
      </c>
    </row>
    <row r="10" spans="1:4">
      <c r="A10" s="38" t="str">
        <f>IF(AND(Control!L16="completed", ISERROR(SEARCH("after the previous", Control!E16))), Control!D16, "")</f>
        <v>miercoles, 21 de enero de 2016</v>
      </c>
      <c r="B10" s="24">
        <f>IF(A10="", "", Control!E16)</f>
        <v>0.22916666666666666</v>
      </c>
      <c r="C10" s="24">
        <f>IF(A10="", "", Control!F16)</f>
        <v>0.22152777777777777</v>
      </c>
      <c r="D10" s="24">
        <f>IF(A10="", "", Control!G16)</f>
        <v>0.22361111111111112</v>
      </c>
    </row>
    <row r="11" spans="1:4">
      <c r="A11" s="38" t="str">
        <f>IF(AND(Control!L17="completed", ISERROR(SEARCH("after the previous", Control!E17))), Control!D17, "")</f>
        <v>jueves, 22 de enero de 2026</v>
      </c>
      <c r="B11" s="24">
        <f>IF(A11="", "", Control!E17)</f>
        <v>0.25</v>
      </c>
      <c r="C11" s="24">
        <f>IF(A11="", "", Control!F17)</f>
        <v>0.24930555555555556</v>
      </c>
      <c r="D11" s="24">
        <f>IF(A11="", "", Control!G17)</f>
        <v>0.25416666666666665</v>
      </c>
    </row>
    <row r="12" spans="1:4">
      <c r="A12" s="38" t="str">
        <f>IF(AND(Control!L18="completed", ISERROR(SEARCH("after the previous", Control!E18))), Control!D18, "")</f>
        <v>viernes, 23 de enero de 2026</v>
      </c>
      <c r="B12" s="24">
        <f>IF(A12="", "", Control!E18)</f>
        <v>0.33333333333333331</v>
      </c>
      <c r="C12" s="24">
        <f>IF(A12="", "", Control!F18)</f>
        <v>0.29444444444444445</v>
      </c>
      <c r="D12" s="24">
        <f>IF(A12="", "", Control!G18)</f>
        <v>0.32291666666666669</v>
      </c>
    </row>
    <row r="13" spans="1:4">
      <c r="A13" s="38" t="str">
        <f>IF(AND(Control!L20="completed", ISERROR(SEARCH("after the previous", Control!E20))), Control!D20, "")</f>
        <v>lunes, 26 de enero de 2026</v>
      </c>
      <c r="B13" s="24">
        <f>IF(A13="", "", Control!E20)</f>
        <v>0.20833333333333334</v>
      </c>
      <c r="C13" s="24">
        <f>IF(A13="", "", Control!F20)</f>
        <v>0.21249999999999999</v>
      </c>
      <c r="D13" s="24">
        <f>IF(A13="", "", Control!G20)</f>
        <v>0.21944444444444444</v>
      </c>
    </row>
    <row r="14" spans="1:4">
      <c r="A14" s="38" t="str">
        <f>IF(AND(Control!L23="completed", ISERROR(SEARCH("after the previous", Control!E23))), Control!D23, "")</f>
        <v>martes, 27 de enero de 2026</v>
      </c>
      <c r="B14" s="24">
        <f>IF(A14="", "", Control!E23)</f>
        <v>0.20833333333333334</v>
      </c>
      <c r="C14" s="24">
        <f>IF(A14="", "", Control!F23)</f>
        <v>0.21180555555555555</v>
      </c>
      <c r="D14" s="24">
        <f>IF(A14="", "", Control!G23)</f>
        <v>0.21319444444444444</v>
      </c>
    </row>
    <row r="15" spans="1:4">
      <c r="A15" s="38" t="str">
        <f>IF(AND(Control!L25="completed", ISERROR(SEARCH("after the previous", Control!E25))), Control!D25, "")</f>
        <v>lunes, 02 de febrero de 2026</v>
      </c>
      <c r="B15" s="24">
        <f>IF(A15="", "", Control!E25)</f>
        <v>0.29166666666666669</v>
      </c>
      <c r="C15" s="24">
        <f>IF(A15="", "", Control!F25)</f>
        <v>0.2951388888888889</v>
      </c>
      <c r="D15" s="24">
        <f>IF(A15="", "", Control!G25)</f>
        <v>0.30416666666666664</v>
      </c>
    </row>
    <row r="16" spans="1:4">
      <c r="A16" s="38" t="str">
        <f>IF(AND(Control!L27="completed", ISERROR(SEARCH("after the previous", Control!E27))), Control!D27, "")</f>
        <v>martes, 03 de febrero de 2026</v>
      </c>
      <c r="B16" s="24">
        <f>IF(A16="", "", Control!E27)</f>
        <v>0.20833333333333334</v>
      </c>
      <c r="C16" s="24">
        <f>IF(A16="", "", Control!F27)</f>
        <v>0.22361111111111112</v>
      </c>
      <c r="D16" s="24">
        <f>IF(A16="", "", Control!G27)</f>
        <v>0.22638888888888889</v>
      </c>
    </row>
    <row r="17" spans="1:4">
      <c r="A17" s="38" t="str">
        <f>IF(AND(Control!L28="completed", ISERROR(SEARCH("after the previous", Control!E28))), Control!D28, "")</f>
        <v>miercoles, 04 de febrero de 2026</v>
      </c>
      <c r="B17" s="24">
        <f>IF(A17="", "", Control!E28)</f>
        <v>0.20833333333333334</v>
      </c>
      <c r="C17" s="24">
        <f>IF(A17="", "", Control!F28)</f>
        <v>0.2076388888888889</v>
      </c>
      <c r="D17" s="24">
        <f>IF(A17="", "", Control!G28)</f>
        <v>0.22013888888888888</v>
      </c>
    </row>
    <row r="18" spans="1:4">
      <c r="A18" s="38" t="str">
        <f>IF(AND(Control!L29="completed", ISERROR(SEARCH("after the previous", Control!E29))), Control!D29, "")</f>
        <v>jueves, 05 de febrero de 2026</v>
      </c>
      <c r="B18" s="24">
        <f>IF(A18="", "", Control!E29)</f>
        <v>0.20833333333333334</v>
      </c>
      <c r="C18" s="24">
        <f>IF(A18="", "", Control!F29)</f>
        <v>0.21597222222222223</v>
      </c>
      <c r="D18" s="24">
        <f>IF(A18="", "", Control!G29)</f>
        <v>0.24444444444444444</v>
      </c>
    </row>
    <row r="19" spans="1:4">
      <c r="A19" s="38" t="str">
        <f>IF(AND(Control!L30="completed", ISERROR(SEARCH("after the previous", Control!E30))), Control!D30, "")</f>
        <v>viernes, 06 de febrero de 2026</v>
      </c>
      <c r="B19" s="24">
        <f>IF(A19="", "", Control!E30)</f>
        <v>0.20833333333333334</v>
      </c>
      <c r="C19" s="24">
        <f>IF(A19="", "", Control!F30)</f>
        <v>0.23402777777777778</v>
      </c>
      <c r="D19" s="24">
        <f>IF(A19="", "", Control!G30)</f>
        <v>0.23958333333333334</v>
      </c>
    </row>
    <row r="20" spans="1:4">
      <c r="A20" s="38" t="str">
        <f>IF(AND(Control!L31="completed", ISERROR(SEARCH("after the previous", Control!E31))), Control!D31, "")</f>
        <v>lunes, 09 de febrero de 2026</v>
      </c>
      <c r="B20" s="24">
        <f>IF(A20="", "", Control!E31)</f>
        <v>0.20833333333333334</v>
      </c>
      <c r="C20" s="24">
        <f>IF(A20="", "", Control!F31)</f>
        <v>0.21111111111111111</v>
      </c>
      <c r="D20" s="24">
        <f>IF(A20="", "", Control!G31)</f>
        <v>0.24930555555555556</v>
      </c>
    </row>
    <row r="21" spans="1:4">
      <c r="A21" s="38" t="str">
        <f>IF(AND(Control!L32="completed", ISERROR(SEARCH("after the previous", Control!E32))), Control!D32, "")</f>
        <v>martes, 10 de febrero de 2026</v>
      </c>
      <c r="B21" s="24">
        <f>IF(A21="", "", Control!E32)</f>
        <v>0.20833333333333334</v>
      </c>
      <c r="C21" s="24">
        <f>IF(A21="", "", Control!F32)</f>
        <v>0.21249999999999999</v>
      </c>
      <c r="D21" s="24">
        <f>IF(A21="", "", Control!G32)</f>
        <v>0.24861111111111112</v>
      </c>
    </row>
    <row r="22" spans="1:4">
      <c r="A22" s="38" t="str">
        <f>IF(AND(Control!L33="completed", ISERROR(SEARCH("after the previous", Control!E33))), Control!D33, "")</f>
        <v>miercoles, 11 de febrero de 2026</v>
      </c>
      <c r="B22" s="24">
        <f>IF(A22="", "", Control!E33)</f>
        <v>0.22916666666666666</v>
      </c>
      <c r="C22" s="24">
        <f>IF(A22="", "", Control!F33)</f>
        <v>0.23125000000000001</v>
      </c>
      <c r="D22" s="24">
        <f>IF(A22="", "", Control!G33)</f>
        <v>0.2326388888888889</v>
      </c>
    </row>
    <row r="23" spans="1:4">
      <c r="A23" s="38" t="str">
        <f>IF(AND(Control!L34="completed", ISERROR(SEARCH("after the previous", Control!E34))), Control!D34, "")</f>
        <v>jueves, 12 de febrero de 2026</v>
      </c>
      <c r="B23" s="24">
        <f>IF(A23="", "", Control!E34)</f>
        <v>0.33333333333333331</v>
      </c>
      <c r="C23" s="24">
        <f>IF(A23="", "", Control!F34)</f>
        <v>0.35555555555555557</v>
      </c>
      <c r="D23" s="24">
        <f>IF(A23="", "", Control!G34)</f>
        <v>0.36458333333333331</v>
      </c>
    </row>
    <row r="24" spans="1:4">
      <c r="A24" s="38" t="str">
        <f>IF(AND(Control!L35="completed", ISERROR(SEARCH("after the previous", Control!E35))), Control!D35, "")</f>
        <v>viernes, 13 de febrero de 2026</v>
      </c>
      <c r="B24" s="24">
        <f>IF(A24="", "", Control!E35)</f>
        <v>0.20833333333333334</v>
      </c>
      <c r="C24" s="24">
        <f>IF(A24="", "", Control!F35)</f>
        <v>0.21736111111111112</v>
      </c>
      <c r="D24" s="24">
        <f>IF(A24="", "", Control!G35)</f>
        <v>0.22500000000000001</v>
      </c>
    </row>
    <row r="25" spans="1:4">
      <c r="A25" s="38" t="str">
        <f>IF(AND(Control!L39="completed", ISERROR(SEARCH("after the previous", Control!E39))), Control!D39, "")</f>
        <v>jueves, 19 de febrero de 2026</v>
      </c>
      <c r="B25" s="24">
        <f>IF(A25="", "", Control!E39)</f>
        <v>0.33333333333333331</v>
      </c>
      <c r="C25" s="24">
        <f>IF(A25="", "", Control!F39)</f>
        <v>0.31874999999999998</v>
      </c>
      <c r="D25" s="24">
        <f>IF(A25="", "", Control!G39)</f>
        <v>0.33611111111111114</v>
      </c>
    </row>
    <row r="26" spans="1:4">
      <c r="A26" s="38" t="str">
        <f>IF(AND(Control!L40="completed", ISERROR(SEARCH("after the previous", Control!E40))), Control!D40, "")</f>
        <v>viernes, 20 de febrero de 2026</v>
      </c>
      <c r="B26" s="24">
        <f>IF(A26="", "", Control!E40)</f>
        <v>0.20833333333333334</v>
      </c>
      <c r="C26" s="24">
        <f>IF(A26="", "", Control!F40)</f>
        <v>0.20416666666666666</v>
      </c>
      <c r="D26" s="24">
        <f>IF(A26="", "", Control!G40)</f>
        <v>0.21041666666666667</v>
      </c>
    </row>
    <row r="27" spans="1:4">
      <c r="A27" s="38" t="str">
        <f>IF(AND(Control!L41="completed", ISERROR(SEARCH("after the previous", Control!E41))), Control!D41, "")</f>
        <v>lunes, 23 de febrero de 2026</v>
      </c>
      <c r="B27" s="24">
        <f>IF(A27="", "", Control!E41)</f>
        <v>0.16666666666666666</v>
      </c>
      <c r="C27" s="24">
        <f>IF(A27="", "", Control!F41)</f>
        <v>0.16527777777777777</v>
      </c>
      <c r="D27" s="24">
        <f>IF(A27="", "", Control!G41)</f>
        <v>0.1701388888888889</v>
      </c>
    </row>
    <row r="28" spans="1:4">
      <c r="A28" s="38" t="str">
        <f>IF(AND(Control!L42="completed", ISERROR(SEARCH("after the previous", Control!E42))), Control!D42, "")</f>
        <v>martes, 24 de febrero de 2026</v>
      </c>
      <c r="B28" s="24">
        <f>IF(A28="", "", Control!E42)</f>
        <v>0.20833333333333334</v>
      </c>
      <c r="C28" s="24">
        <f>IF(A28="", "", Control!F42)</f>
        <v>0.2013888888888889</v>
      </c>
      <c r="D28" s="24">
        <f>IF(A28="", "", Control!G42)</f>
        <v>0.21180555555555555</v>
      </c>
    </row>
    <row r="29" spans="1:4">
      <c r="A29" s="38" t="str">
        <f>IF(AND(Control!L43="completed", ISERROR(SEARCH("after the previous", Control!E43))), Control!D43, "")</f>
        <v>miercoles, 25 de febrero de 2026</v>
      </c>
      <c r="B29" s="24">
        <f>IF(A29="", "", Control!E43)</f>
        <v>0.20833333333333334</v>
      </c>
      <c r="C29" s="24">
        <f>IF(A29="", "", Control!F43)</f>
        <v>0.20277777777777778</v>
      </c>
      <c r="D29" s="24">
        <f>IF(A29="", "", Control!G43)</f>
        <v>0.21458333333333332</v>
      </c>
    </row>
    <row r="30" spans="1:4">
      <c r="A30" s="38" t="str">
        <f>IF(AND(Control!L45="completed", ISERROR(SEARCH("after the previous", Control!E45))), Control!D45, "")</f>
        <v>jueves, 26 de febrero de 2026</v>
      </c>
      <c r="B30" s="24">
        <f>IF(A30="", "", Control!E45)</f>
        <v>0.20833333333333334</v>
      </c>
      <c r="C30" s="24">
        <f>IF(A30="", "", Control!F45)</f>
        <v>0.2076388888888889</v>
      </c>
      <c r="D30" s="24">
        <f>IF(A30="", "", Control!G45)</f>
        <v>0.22083333333333333</v>
      </c>
    </row>
    <row r="31" spans="1:4">
      <c r="A31" s="38" t="str">
        <f>IF(AND(Control!L46="completed", ISERROR(SEARCH("after the previous", Control!E46))), Control!D46, "")</f>
        <v>viernes, 27 de febrero de 2026</v>
      </c>
      <c r="B31" s="24">
        <f>IF(A31="", "", Control!E46)</f>
        <v>0.20833333333333334</v>
      </c>
      <c r="C31" s="24">
        <f>IF(A31="", "", Control!F46)</f>
        <v>0.21666666666666667</v>
      </c>
      <c r="D31" s="24">
        <f>IF(A31="", "", Control!G46)</f>
        <v>0.21944444444444444</v>
      </c>
    </row>
    <row r="32" spans="1:4">
      <c r="A32" s="22">
        <f>IF(AND(Control!L48="completed", ISERROR(SEARCH("after the previous", Control!E48))), Control!D48, "")</f>
        <v>44621</v>
      </c>
      <c r="B32" s="24">
        <f>IF(A32="", "", Control!E48)</f>
        <v>0.20833333333333334</v>
      </c>
      <c r="C32" s="24">
        <f>IF(A32="", "", Control!F48)</f>
        <v>0.21111111111111111</v>
      </c>
      <c r="D32" s="24">
        <f>IF(A32="", "", Control!G48)</f>
        <v>0.21458333333333332</v>
      </c>
    </row>
    <row r="33" spans="1:4">
      <c r="A33" s="22">
        <f>IF(AND(Control!L50="completed", ISERROR(SEARCH("after the previous", Control!E50))), Control!D50, "")</f>
        <v>44623</v>
      </c>
      <c r="B33" s="24">
        <f>IF(A33="", "", Control!E50)</f>
        <v>0.20833333333333334</v>
      </c>
      <c r="C33" s="24">
        <f>IF(A33="", "", Control!F50)</f>
        <v>0.20833333333333334</v>
      </c>
      <c r="D33" s="24">
        <f>IF(A33="", "", Control!G50)</f>
        <v>0.23958333333333334</v>
      </c>
    </row>
    <row r="34" spans="1:4">
      <c r="A34" s="22">
        <f>IF(AND(Control!L53="completed", ISERROR(SEARCH("after the previous", Control!E53))), Control!D53, "")</f>
        <v>44625</v>
      </c>
      <c r="B34" s="24">
        <f>IF(A34="", "", Control!E53)</f>
        <v>0.20833333333333334</v>
      </c>
      <c r="C34" s="24">
        <f>IF(A34="", "", Control!F53)</f>
        <v>0.20833333333333334</v>
      </c>
      <c r="D34" s="24">
        <f>IF(A34="", "", Control!G53)</f>
        <v>0.24166666666666667</v>
      </c>
    </row>
    <row r="35" spans="1:4">
      <c r="A35" s="22">
        <f>IF(AND(Control!L54="completed", ISERROR(SEARCH("after the previous", Control!E54))), Control!D54, "")</f>
        <v>44628</v>
      </c>
      <c r="B35" s="24">
        <f>IF(A35="", "", Control!E54)</f>
        <v>0.22916666666666666</v>
      </c>
      <c r="C35" s="24">
        <f>IF(A35="", "", Control!F54)</f>
        <v>0.23194444444444445</v>
      </c>
      <c r="D35" s="24">
        <f>IF(A35="", "", Control!G54)</f>
        <v>0.23472222222222222</v>
      </c>
    </row>
    <row r="36" spans="1:4">
      <c r="A36" s="22">
        <f>IF(AND(Control!L56="completed", ISERROR(SEARCH("after the previous", Control!E56))), Control!D56, "")</f>
        <v>44630</v>
      </c>
      <c r="B36" s="24">
        <f>IF(A36="", "", Control!E56)</f>
        <v>0.22916666666666666</v>
      </c>
      <c r="C36" s="24">
        <f>IF(A36="", "", Control!F56)</f>
        <v>0.23541666666666666</v>
      </c>
      <c r="D36" s="24">
        <f>IF(A36="", "", Control!G56)</f>
        <v>0.25624999999999998</v>
      </c>
    </row>
    <row r="37" spans="1:4">
      <c r="A37" s="22">
        <f>IF(AND(Control!L57="completed", ISERROR(SEARCH("after the previous", Control!E57))), Control!D57, "")</f>
        <v>44632</v>
      </c>
      <c r="B37" s="24">
        <f>IF(A37="", "", Control!E57)</f>
        <v>0.39583333333333331</v>
      </c>
      <c r="C37" s="24">
        <f>IF(A37="", "", Control!F57)</f>
        <v>0.37986111111111109</v>
      </c>
      <c r="D37" s="24">
        <f>IF(A37="", "", Control!G57)</f>
        <v>0.38680555555555557</v>
      </c>
    </row>
    <row r="38" spans="1:4">
      <c r="A38" s="22">
        <f>IF(AND(Control!L58="completed", ISERROR(SEARCH("after the previous", Control!E58))), Control!D58, "")</f>
        <v>44635</v>
      </c>
      <c r="B38" s="24">
        <f>IF(A38="", "", Control!E58)</f>
        <v>0.20833333333333334</v>
      </c>
      <c r="C38" s="24">
        <f>IF(A38="", "", Control!F58)</f>
        <v>0.20972222222222223</v>
      </c>
      <c r="D38" s="24">
        <f>IF(A38="", "", Control!G58)</f>
        <v>0.22847222222222222</v>
      </c>
    </row>
    <row r="39" spans="1:4">
      <c r="A39" s="22">
        <f>IF(AND(Control!L59="completed", ISERROR(SEARCH("after the previous", Control!E59))), Control!D59, "")</f>
        <v>44637</v>
      </c>
      <c r="B39" s="24">
        <f>IF(A39="", "", Control!E59)</f>
        <v>0.20833333333333334</v>
      </c>
      <c r="C39" s="24">
        <f>IF(A39="", "", Control!F59)</f>
        <v>0.20416666666666666</v>
      </c>
      <c r="D39" s="24">
        <f>IF(A39="", "", Control!G59)</f>
        <v>0.23333333333333334</v>
      </c>
    </row>
    <row r="40" spans="1:4">
      <c r="A40" s="22">
        <f>IF(AND(Control!L60="completed", ISERROR(SEARCH("after the previous", Control!E60))), Control!D60, "")</f>
        <v>44639</v>
      </c>
      <c r="B40" s="24">
        <f>IF(A40="", "", Control!E60)</f>
        <v>0.20833333333333334</v>
      </c>
      <c r="C40" s="24">
        <f>IF(A40="", "", Control!F60)</f>
        <v>0.2013888888888889</v>
      </c>
      <c r="D40" s="24">
        <f>IF(A40="", "", Control!G60)</f>
        <v>0.21041666666666667</v>
      </c>
    </row>
    <row r="41" spans="1:4">
      <c r="A41" s="22">
        <f>IF(AND(Control!L61="completed", ISERROR(SEARCH("after the previous", Control!E61))), Control!D61, "")</f>
        <v>44642</v>
      </c>
      <c r="B41" s="24">
        <f>IF(A41="", "", Control!E61)</f>
        <v>0.22916666666666666</v>
      </c>
      <c r="C41" s="24">
        <f>IF(A41="", "", Control!F61)</f>
        <v>0.23472222222222222</v>
      </c>
      <c r="D41" s="24">
        <f>IF(A41="", "", Control!G61)</f>
        <v>0.24374999999999999</v>
      </c>
    </row>
    <row r="42" spans="1:4">
      <c r="A42" s="22">
        <f>IF(AND(Control!L62="completed", ISERROR(SEARCH("after the previous", Control!E62))), Control!D62, "")</f>
        <v>44644</v>
      </c>
      <c r="B42" s="24">
        <f>IF(A42="", "", Control!E62)</f>
        <v>0.20833333333333334</v>
      </c>
      <c r="C42" s="24">
        <f>IF(A42="", "", Control!F62)</f>
        <v>0.24166666666666667</v>
      </c>
      <c r="D42" s="24">
        <f>IF(A42="", "", Control!G62)</f>
        <v>0.24305555555555555</v>
      </c>
    </row>
    <row r="43" spans="1:4">
      <c r="A43" s="22">
        <f>IF(AND(Control!L64="completed", ISERROR(SEARCH("after the previous", Control!E64))), Control!D64, "")</f>
        <v>44646</v>
      </c>
      <c r="B43" s="24">
        <f>IF(A43="", "", Control!E64)</f>
        <v>0.22916666666666666</v>
      </c>
      <c r="C43" s="24">
        <f>IF(A43="", "", Control!F64)</f>
        <v>0.22916666666666666</v>
      </c>
      <c r="D43" s="24">
        <f>IF(A43="", "", Control!G64)</f>
        <v>0.24861111111111112</v>
      </c>
    </row>
    <row r="44" spans="1:4">
      <c r="A44" s="22">
        <f>IF(AND(Control!L65="completed", ISERROR(SEARCH("after the previous", Control!E65))), Control!D65, "")</f>
        <v>44649</v>
      </c>
      <c r="B44" s="24">
        <f>IF(A44="", "", Control!E65)</f>
        <v>0.22916666666666666</v>
      </c>
      <c r="C44" s="24">
        <f>IF(A44="", "", Control!F65)</f>
        <v>0.22916666666666666</v>
      </c>
      <c r="D44" s="24">
        <f>IF(A44="", "", Control!G65)</f>
        <v>0.24374999999999999</v>
      </c>
    </row>
    <row r="45" spans="1:4">
      <c r="A45" s="22">
        <f>IF(AND(Control!L67="completed", ISERROR(SEARCH("after the previous", Control!E67))), Control!D67, "")</f>
        <v>44656</v>
      </c>
      <c r="B45" s="24">
        <f>IF(A45="", "", Control!E67)</f>
        <v>0.20833333333333334</v>
      </c>
      <c r="C45" s="24">
        <f>IF(A45="", "", Control!F67)</f>
        <v>0.21180555555555555</v>
      </c>
      <c r="D45" s="24">
        <f>IF(A45="", "", Control!G67)</f>
        <v>0.22013888888888888</v>
      </c>
    </row>
    <row r="46" spans="1:4">
      <c r="A46" s="22">
        <f>IF(AND(Control!L71="completed", ISERROR(SEARCH("after the previous", Control!E71))), Control!D71, "")</f>
        <v>44660</v>
      </c>
      <c r="B46" s="24">
        <f>IF(A46="", "", Control!E71)</f>
        <v>0.33333333333333331</v>
      </c>
      <c r="C46" s="24">
        <f>IF(A46="", "", Control!F71)</f>
        <v>0.33819444444444446</v>
      </c>
      <c r="D46" s="24">
        <f>IF(A46="", "", Control!G71)</f>
        <v>0.34791666666666665</v>
      </c>
    </row>
    <row r="47" spans="1:4">
      <c r="A47" s="22">
        <f>IF(AND(Control!L75="completed", ISERROR(SEARCH("after the previous", Control!E75))), Control!D75, "")</f>
        <v>44663</v>
      </c>
      <c r="B47" s="24">
        <f>IF(A47="", "", Control!E75)</f>
        <v>0.20833333333333334</v>
      </c>
      <c r="C47" s="24">
        <f>IF(A47="", "", Control!F75)</f>
        <v>0.2076388888888889</v>
      </c>
      <c r="D47" s="24">
        <f>IF(A47="", "", Control!G75)</f>
        <v>0.21249999999999999</v>
      </c>
    </row>
    <row r="48" spans="1:4">
      <c r="A48" s="22">
        <f>IF(AND(Control!L79="completed", ISERROR(SEARCH("after the previous", Control!E79))), Control!D79, "")</f>
        <v>44665</v>
      </c>
      <c r="B48" s="24">
        <f>IF(A48="", "", Control!E79)</f>
        <v>0.1875</v>
      </c>
      <c r="C48" s="24">
        <f>IF(A48="", "", Control!F79)</f>
        <v>0.18194444444444444</v>
      </c>
      <c r="D48" s="24">
        <f>IF(A48="", "", Control!G79)</f>
        <v>0.18888888888888888</v>
      </c>
    </row>
    <row r="49" spans="1:4">
      <c r="A49" s="22">
        <f>IF(AND(Control!L80="completed", ISERROR(SEARCH("after the previous", Control!E80))), Control!D80, "")</f>
        <v>44667</v>
      </c>
      <c r="B49" s="24">
        <f>IF(A49="", "", Control!E80)</f>
        <v>0.22916666666666666</v>
      </c>
      <c r="C49" s="24">
        <f>IF(A49="", "", Control!F80)</f>
        <v>0.21875</v>
      </c>
      <c r="D49" s="24">
        <f>IF(A49="", "", Control!G80)</f>
        <v>0.23402777777777778</v>
      </c>
    </row>
    <row r="50" spans="1:4">
      <c r="A50" s="22">
        <f>IF(AND(Control!L81="completed", ISERROR(SEARCH("after the previous", Control!E81))), Control!D81, "")</f>
        <v>44670</v>
      </c>
      <c r="B50" s="24">
        <f>IF(A50="", "", Control!E81)</f>
        <v>0.20833333333333334</v>
      </c>
      <c r="C50" s="24">
        <f>IF(A50="", "", Control!F81)</f>
        <v>0.21111111111111111</v>
      </c>
      <c r="D50" s="24">
        <f>IF(A50="", "", Control!G81)</f>
        <v>0.21527777777777779</v>
      </c>
    </row>
    <row r="51" spans="1:4">
      <c r="A51" s="22">
        <f>IF(AND(Control!L84="completed", ISERROR(SEARCH("after the previous", Control!E84))), Control!D84, "")</f>
        <v>44672</v>
      </c>
      <c r="B51" s="24">
        <f>IF(A51="", "", Control!E84)</f>
        <v>0.33333333333333331</v>
      </c>
      <c r="C51" s="24">
        <f>IF(A51="", "", Control!F83)</f>
        <v>0.33124999999999999</v>
      </c>
      <c r="D51" s="24">
        <f>IF(A51="", "", Control!G83)</f>
        <v>0.3576388888888889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Control</vt:lpstr>
      <vt:lpstr>Schedule supervision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rivera</dc:creator>
  <cp:lastModifiedBy>agustin rivera</cp:lastModifiedBy>
  <dcterms:created xsi:type="dcterms:W3CDTF">2025-08-21T15:04:54Z</dcterms:created>
  <dcterms:modified xsi:type="dcterms:W3CDTF">2026-04-30T18:51:39Z</dcterms:modified>
</cp:coreProperties>
</file>